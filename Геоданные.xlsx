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Адреса" sheetId="1" r:id="rId1"/>
    <sheet name="Координаты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P4" i="2"/>
  <c r="Q4" i="2"/>
  <c r="Q3" i="2"/>
  <c r="Q2" i="2"/>
  <c r="P3" i="2"/>
  <c r="P2" i="2"/>
  <c r="O3" i="2"/>
  <c r="O2" i="2"/>
  <c r="N6" i="2"/>
  <c r="Q4" i="1"/>
  <c r="Q3" i="1"/>
  <c r="Q2" i="1"/>
  <c r="P4" i="1"/>
  <c r="P3" i="1"/>
  <c r="P2" i="1"/>
  <c r="O4" i="1"/>
  <c r="O3" i="1"/>
  <c r="O2" i="1"/>
  <c r="N6" i="1"/>
</calcChain>
</file>

<file path=xl/sharedStrings.xml><?xml version="1.0" encoding="utf-8"?>
<sst xmlns="http://schemas.openxmlformats.org/spreadsheetml/2006/main" count="1998" uniqueCount="850">
  <si>
    <t>109012, г. Москва, Красная площадь, д. 1</t>
  </si>
  <si>
    <t>125009, г. Москва, Тверская ул., д. 7</t>
  </si>
  <si>
    <t>101000, г. Москва, ул. Мясницкая, д. 26</t>
  </si>
  <si>
    <t>119019, г. Москва, ул. Арбат, д. 51</t>
  </si>
  <si>
    <t>127006, г. Москва, ул. Новый Арбат, д. 15</t>
  </si>
  <si>
    <t>115035, г. Москва, ул. Пятницкая, д. 62</t>
  </si>
  <si>
    <t>107031, г. Москва, Кузнецкий Мост ул., д.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</si>
  <si>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</si>
  <si>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</si>
  <si>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</si>
  <si>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11. 190000, г. Санкт-Петербург, Невский пр., д. 28</t>
  </si>
  <si>
    <t>12. 191186, г. Санкт-Петербург, Дворцовая площадь, д. 2</t>
  </si>
  <si>
    <t>13. 191023, г. Санкт-Петербург, набережная реки Фонтанки, д. 62</t>
  </si>
  <si>
    <t>14. 190031, г. Санкт-Петербург, Садовая ул., д. 54</t>
  </si>
  <si>
    <t>15. 191011, г. Санкт-Петербург, ул. Итальянская, д. 25</t>
  </si>
  <si>
    <t>16. 191002, г. Санкт-Петербург, Литейный пр., д. 51</t>
  </si>
  <si>
    <t>17. 197046, г. Санкт-Петербург, ул. Куйбышева, д. 4</t>
  </si>
  <si>
    <t>18. 199034, г. Санкт-Петербург, Университетская наб., д. 7</t>
  </si>
  <si>
    <t>19. 191124, г. Санкт-Петербург, ул. Чайковского, д. 39</t>
  </si>
  <si>
    <t>20. 191014, г. Санкт-Петербург, Литейный пр., д. 60</t>
  </si>
  <si>
    <t>620014, г. Екатеринбург, ул. 8 Марта, д. 13</t>
  </si>
  <si>
    <t>630099, г. Новосибирск, Красный проспект, д.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</si>
  <si>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</si>
  <si>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</si>
  <si>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</si>
  <si>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454091, г. Челябинск, пр. Ленина, д. 57</t>
  </si>
  <si>
    <t>644099, г. Омск, ул. Ленина, д. 10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</si>
  <si>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</si>
  <si>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</si>
  <si>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</si>
  <si>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690091, г. Владивосток, ул. Светланская, д. 20</t>
  </si>
  <si>
    <t>236006, г. Калининград, Ленинский пр., д. 30</t>
  </si>
  <si>
    <t>664003, г. Иркутск, ул. Ленина, д. 14</t>
  </si>
  <si>
    <t>183038, г. Мурманск, пр. Ленина, д. 75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</si>
  <si>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</si>
  <si>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</si>
  <si>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</si>
  <si>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</si>
  <si>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</si>
  <si>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354000, г. Сочи, Курортный пр., д. 103</t>
  </si>
  <si>
    <t>614000, г. Пермь, ул. Ленина, д. 58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</si>
  <si>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</si>
  <si>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</si>
  <si>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</si>
  <si>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</si>
  <si>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445044, г. Тольятти, Южное шоссе, д. 36</t>
  </si>
  <si>
    <t>426008, г. Ижевск, ул. Пушкинская, д. 216</t>
  </si>
  <si>
    <t>656043, г. Барнаул, пр. Ленина, д. 54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</si>
  <si>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</si>
  <si>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</si>
  <si>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</si>
  <si>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180000, г. Псков, Октябрьский пр., д. 36</t>
  </si>
  <si>
    <t>214000, г. Смоленск, ул. Большая Советская, д. 11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</si>
  <si>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</si>
  <si>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</si>
  <si>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</si>
  <si>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</si>
  <si>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</si>
  <si>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</si>
  <si>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</si>
  <si>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385000, г. Майкоп, ул. Краснооктябрьская, д. 29</t>
  </si>
  <si>
    <t>426034, г. Ижевск, ул. Советская, д. 1</t>
  </si>
  <si>
    <t>667010, г. Кызыл, ул. Ленина, д. 33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</si>
  <si>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</si>
  <si>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</si>
  <si>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</si>
  <si>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</si>
  <si>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685000, г. Магадан, пр. Ленина, д. 2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</si>
  <si>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</si>
  <si>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</si>
  <si>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</si>
  <si>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</si>
  <si>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</si>
  <si>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188800, Ленинградская обл., г. Выборг, ул. Крепостная, д. 25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</si>
  <si>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</si>
  <si>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</si>
  <si>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</si>
  <si>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</si>
  <si>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</si>
  <si>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</si>
  <si>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141411, Московская обл., г. Химки, ул. Московская, д. 15</t>
  </si>
  <si>
    <t>143980, Московская обл., г. Железнодорожный, ул. Советская, д. 9</t>
  </si>
  <si>
    <t>196240, г. Санкт-Петербург, Московский пр., д. 216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</si>
  <si>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</si>
  <si>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</si>
  <si>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</si>
  <si>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</si>
  <si>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</si>
  <si>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</si>
  <si>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</si>
  <si>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</si>
  <si>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</si>
  <si>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</si>
  <si>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</si>
  <si>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</si>
  <si>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</si>
  <si>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</si>
  <si>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</si>
  <si>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</si>
  <si>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</si>
  <si>
    <t>Адреса</t>
  </si>
  <si>
    <t>Координаты</t>
  </si>
  <si>
    <t>55.753544, 37.621202</t>
  </si>
  <si>
    <t>59.939131, 30.315882</t>
  </si>
  <si>
    <t>55.796289, 49.108980</t>
  </si>
  <si>
    <t>56.328674, 44.002059</t>
  </si>
  <si>
    <t>54.989347, 73.368221</t>
  </si>
  <si>
    <t>53.195538, 50.100202</t>
  </si>
  <si>
    <t>47.222531, 39.718705</t>
  </si>
  <si>
    <t>56.838002, 60.597295</t>
  </si>
  <si>
    <t>55.041500, 82.934600</t>
  </si>
  <si>
    <t>56.852544, 53.204843</t>
  </si>
  <si>
    <t>45.043317, 38.975882</t>
  </si>
  <si>
    <t>48.719390, 44.501840</t>
  </si>
  <si>
    <t>54.734853, 55.957855</t>
  </si>
  <si>
    <t>58.520721, 31.301470</t>
  </si>
  <si>
    <t>59.557049, 150.803543</t>
  </si>
  <si>
    <t>43.585525, 39.723062</t>
  </si>
  <si>
    <t>44.616650, 33.525366</t>
  </si>
  <si>
    <t>60.153033, 59.986748</t>
  </si>
  <si>
    <t>51.768199, 55.096955</t>
  </si>
  <si>
    <t>53.361406, 55.925674</t>
  </si>
  <si>
    <t>55.028190, 82.921447</t>
  </si>
  <si>
    <t>56.484640, 84.948183</t>
  </si>
  <si>
    <t>53.355127, 83.692948</t>
  </si>
  <si>
    <t>52.297781, 104.296422</t>
  </si>
  <si>
    <t>61.257447, 73.397448</t>
  </si>
  <si>
    <t>66.529323, 66.614426</t>
  </si>
  <si>
    <t>67.639895, 53.006729</t>
  </si>
  <si>
    <t>68.958527, 33.082931</t>
  </si>
  <si>
    <t>59.603392, 150.851941</t>
  </si>
  <si>
    <t>46.349272, 48.034981</t>
  </si>
  <si>
    <t>44.958820, 34.109917</t>
  </si>
  <si>
    <t>57.626569, 39.893822</t>
  </si>
  <si>
    <t>54.782712, 32.045287</t>
  </si>
  <si>
    <t>51.675454, 39.208828</t>
  </si>
  <si>
    <t>53.243325, 34.363991</t>
  </si>
  <si>
    <t>54.513845, 36.261215</t>
  </si>
  <si>
    <t>55.830430, 49.066082</t>
  </si>
  <si>
    <t>56.633213, 47.895285</t>
  </si>
  <si>
    <t>58.461335, 92.130349</t>
  </si>
  <si>
    <t>52.033681, 113.500702</t>
  </si>
  <si>
    <t>52.269310, 104.278237</t>
  </si>
  <si>
    <t>61.257588, 73.425722</t>
  </si>
  <si>
    <t>56.462089, 84.975206</t>
  </si>
  <si>
    <t>53.360749, 83.763647</t>
  </si>
  <si>
    <t>55.030204, 82.920430</t>
  </si>
  <si>
    <t>54.853096, 83.105735</t>
  </si>
  <si>
    <t>55.018196, 82.933618</t>
  </si>
  <si>
    <t>56.112184, 47.244961</t>
  </si>
  <si>
    <t>54.625146, 39.734957</t>
  </si>
  <si>
    <t>53.203434, 50.160491</t>
  </si>
  <si>
    <t>44.723489, 37.768031</t>
  </si>
  <si>
    <t>43.682570, 40.288311</t>
  </si>
  <si>
    <t>42.874621, 131.635617</t>
  </si>
  <si>
    <t>48.482707, 135.078971</t>
  </si>
  <si>
    <t>50.290406, 127.527210</t>
  </si>
  <si>
    <t>52.033097, 113.501114</t>
  </si>
  <si>
    <t>56.600562, 57.758219</t>
  </si>
  <si>
    <t>58.000000, 56.316666</t>
  </si>
  <si>
    <t>57.152985, 65.541227</t>
  </si>
  <si>
    <t>55.442201, 65.341118</t>
  </si>
  <si>
    <t>54.436231, 61.254593</t>
  </si>
  <si>
    <t>53.451735, 59.067332</t>
  </si>
  <si>
    <t>51.530018, 46.034657</t>
  </si>
  <si>
    <t>53.373896, 55.935023</t>
  </si>
  <si>
    <t>54.736237, 55.966153</t>
  </si>
  <si>
    <t>56.132222, 47.251944</t>
  </si>
  <si>
    <t>55.784183, 49.124128</t>
  </si>
  <si>
    <t>57.152222, 65.527222</t>
  </si>
  <si>
    <t>58.043056, 60.553889</t>
  </si>
  <si>
    <t>59.076667, 37.901111</t>
  </si>
  <si>
    <t>58.461111, 92.148611</t>
  </si>
  <si>
    <t>59.562500, 150.803611</t>
  </si>
  <si>
    <t>53.016667, 158.650000</t>
  </si>
  <si>
    <t>62.033889, 129.733056</t>
  </si>
  <si>
    <t>62.027222, 129.731944</t>
  </si>
  <si>
    <t>56.753690, 37.193314</t>
  </si>
  <si>
    <t>56.342500, 37.520278</t>
  </si>
  <si>
    <t>54.920000, 37.410000</t>
  </si>
  <si>
    <t>55.616667, 37.650000</t>
  </si>
  <si>
    <t>55.914167, 37.825000</t>
  </si>
  <si>
    <t>55.900000, 37.583333</t>
  </si>
  <si>
    <t>55.869444, 37.661667</t>
  </si>
  <si>
    <t>55.761111, 37.656389</t>
  </si>
  <si>
    <t>55.733890, 37.587129</t>
  </si>
  <si>
    <t>55.678333, 37.893333</t>
  </si>
  <si>
    <t>55.630556, 37.800556</t>
  </si>
  <si>
    <t>55.580556, 37.693611</t>
  </si>
  <si>
    <t>55.550000, 37.700000</t>
  </si>
  <si>
    <t>55.533333, 37.483333</t>
  </si>
  <si>
    <t>55.508333, 37.326389</t>
  </si>
  <si>
    <t>55.433333, 37.550000</t>
  </si>
  <si>
    <t>55.422500, 37.554167</t>
  </si>
  <si>
    <t>55.383333, 37.550000</t>
  </si>
  <si>
    <t>55.350000, 37.616667</t>
  </si>
  <si>
    <t>55.333333, 37.750000</t>
  </si>
  <si>
    <t>55.316667, 38.650000</t>
  </si>
  <si>
    <t>55.183333, 37.966667</t>
  </si>
  <si>
    <t>55.116667, 38.766667</t>
  </si>
  <si>
    <t>55.012222, 82.935556</t>
  </si>
  <si>
    <t>Яндекс.Геокодер</t>
  </si>
  <si>
    <t>DaData</t>
  </si>
  <si>
    <t>GigaChat</t>
  </si>
  <si>
    <t>55.755277 37.61768</t>
  </si>
  <si>
    <t>55.757972 37.611212</t>
  </si>
  <si>
    <t xml:space="preserve">55.763979 37.637326 </t>
  </si>
  <si>
    <t>55.747784 37.586688</t>
  </si>
  <si>
    <t>55.732996 37.627148</t>
  </si>
  <si>
    <t>55.751933 37.593066</t>
  </si>
  <si>
    <t>55.762004 37.626448</t>
  </si>
  <si>
    <t>55.710732 37.578262</t>
  </si>
  <si>
    <t>55.767089 37.560233</t>
  </si>
  <si>
    <t>55.781241 37.633023</t>
  </si>
  <si>
    <t>59.9358 30.325875</t>
  </si>
  <si>
    <t>59.940082 30.312814</t>
  </si>
  <si>
    <t>59.928861 30.338667</t>
  </si>
  <si>
    <t>59.922977 30.309544</t>
  </si>
  <si>
    <t>59.935786 30.337293</t>
  </si>
  <si>
    <t>59.937197 30.347785</t>
  </si>
  <si>
    <t>59.93978 30.299456</t>
  </si>
  <si>
    <t>59.946302 30.354343</t>
  </si>
  <si>
    <t>Комментарий</t>
  </si>
  <si>
    <t>индекс другой</t>
  </si>
  <si>
    <t>59.93378 30.348396</t>
  </si>
  <si>
    <t>56.836401 60.600349</t>
  </si>
  <si>
    <t>полное совпадение</t>
  </si>
  <si>
    <t>55.022969 82.922963</t>
  </si>
  <si>
    <t>55.790853 49.121784</t>
  </si>
  <si>
    <t>56.308975 43.987292</t>
  </si>
  <si>
    <t>53.19427 50.093788</t>
  </si>
  <si>
    <t>55.159866 61.398044</t>
  </si>
  <si>
    <t>54.986423 73.372919</t>
  </si>
  <si>
    <t>47.22168 39.712237</t>
  </si>
  <si>
    <t>54.761363 56.013336</t>
  </si>
  <si>
    <t>56.011872 92.873592</t>
  </si>
  <si>
    <t>43.116306 131.881936</t>
  </si>
  <si>
    <t>54.711364 20.508215</t>
  </si>
  <si>
    <t>52.286839 104.279735</t>
  </si>
  <si>
    <t>68.972505 33.084116</t>
  </si>
  <si>
    <t>64.540518 40.513202</t>
  </si>
  <si>
    <t>57.626342 39.890041</t>
  </si>
  <si>
    <t>дом 8/10</t>
  </si>
  <si>
    <t>54.185662 37.609991</t>
  </si>
  <si>
    <t>51.72996 36.192126</t>
  </si>
  <si>
    <t>50.594242 36.594095</t>
  </si>
  <si>
    <t>43.551599 39.777302</t>
  </si>
  <si>
    <t>58.009992 56.237375</t>
  </si>
  <si>
    <t>полное совпадение + ещё нашел адрес в голованово</t>
  </si>
  <si>
    <t>51.666607 39.206557</t>
  </si>
  <si>
    <t>48.718511 44.530558</t>
  </si>
  <si>
    <t>индекс другой, проспект написан не полностью</t>
  </si>
  <si>
    <t>51.536122 46.023764</t>
  </si>
  <si>
    <t>57.152018 65.543176</t>
  </si>
  <si>
    <t>53.555689 49.264913</t>
  </si>
  <si>
    <t>56.854547 53.211499</t>
  </si>
  <si>
    <t>53.346457 83.779309</t>
  </si>
  <si>
    <t>54.9857 73.374015</t>
  </si>
  <si>
    <t>55.164773 61.400227</t>
  </si>
  <si>
    <t>58.529595 31.293478</t>
  </si>
  <si>
    <t>57.81367 28.347444</t>
  </si>
  <si>
    <t>54.785927 32.054234</t>
  </si>
  <si>
    <t>56.860693 35.902877</t>
  </si>
  <si>
    <t>57.767145 40.928295</t>
  </si>
  <si>
    <t>56.12837 40.41021</t>
  </si>
  <si>
    <t>54.651579 39.606389</t>
  </si>
  <si>
    <t>индекс другой, без индекса другие координаты</t>
  </si>
  <si>
    <t>52.596208 39.568758</t>
  </si>
  <si>
    <t>индекс другой + дом 29а</t>
  </si>
  <si>
    <t>52.721841 41.453028</t>
  </si>
  <si>
    <t>54.313635 48.396386</t>
  </si>
  <si>
    <t>44.608564 40.104423</t>
  </si>
  <si>
    <t>56.844707 53.199291</t>
  </si>
  <si>
    <t>без индекса</t>
  </si>
  <si>
    <t>51.720074 94.439598</t>
  </si>
  <si>
    <t>53.721642 91.442226</t>
  </si>
  <si>
    <t>проспект</t>
  </si>
  <si>
    <t>66.526521 66.606871</t>
  </si>
  <si>
    <t>53.011085 158.652783</t>
  </si>
  <si>
    <t>46.963134 142.727521</t>
  </si>
  <si>
    <t>59.569044 150.80864</t>
  </si>
  <si>
    <t>номер дома 2а</t>
  </si>
  <si>
    <t>частичное совпадение</t>
  </si>
  <si>
    <t>64.734993 177.51099</t>
  </si>
  <si>
    <t>55.099778 36.602674</t>
  </si>
  <si>
    <t>индекс не совпадает</t>
  </si>
  <si>
    <t>55.917844 37.869011</t>
  </si>
  <si>
    <t>56.010216 37.850434</t>
  </si>
  <si>
    <t>60.0212 30.653707</t>
  </si>
  <si>
    <t>60.710901 28.737582</t>
  </si>
  <si>
    <t>57.255006 60.102988</t>
  </si>
  <si>
    <t>55.769281 60.694367</t>
  </si>
  <si>
    <t>55.081375 21.889258</t>
  </si>
  <si>
    <t>43.797429 131.953478</t>
  </si>
  <si>
    <t>53.190219 158.381465</t>
  </si>
  <si>
    <t>индекс и номер дома не совпадает</t>
  </si>
  <si>
    <t>48.581252 45.737624</t>
  </si>
  <si>
    <t>55.889083 37.445518</t>
  </si>
  <si>
    <t xml:space="preserve">индекс и город не совпадают </t>
  </si>
  <si>
    <t>55.751573 38.012139</t>
  </si>
  <si>
    <t>59.848809 30.322327</t>
  </si>
  <si>
    <t>56.823094 60.619079</t>
  </si>
  <si>
    <t>55.018711 82.937848</t>
  </si>
  <si>
    <t>индекс отсутствует</t>
  </si>
  <si>
    <t>55.790291 49.115235</t>
  </si>
  <si>
    <t>56.327521 43.984247</t>
  </si>
  <si>
    <t>53.184996 50.100687</t>
  </si>
  <si>
    <t>55.159465 61.399185</t>
  </si>
  <si>
    <t>55.016461 73.318077</t>
  </si>
  <si>
    <t>55.738414 37.596372</t>
  </si>
  <si>
    <t>номер дома 37/7с3</t>
  </si>
  <si>
    <t>56.836106 60.61465</t>
  </si>
  <si>
    <t>номер дома 51</t>
  </si>
  <si>
    <t>55.036943 82.916333</t>
  </si>
  <si>
    <t>56.324102 44.007639</t>
  </si>
  <si>
    <t>53.200544 50.109338</t>
  </si>
  <si>
    <t>55.157999 61.385342</t>
  </si>
  <si>
    <t>47.221558 39.710638</t>
  </si>
  <si>
    <t>номер дома не совпадает (45)</t>
  </si>
  <si>
    <t>Совпадение</t>
  </si>
  <si>
    <t>номер дома не совпадает (7-9-11В)</t>
  </si>
  <si>
    <t>предложено несколько похожих, одно из который по индексу не совпадает</t>
  </si>
  <si>
    <t>номер дома не совпадает</t>
  </si>
  <si>
    <t>Россия, Москва, Красная площадь</t>
  </si>
  <si>
    <t>Россия, Санкт-Петербург, Дворцовая площадь</t>
  </si>
  <si>
    <t>Россия, Республика Татарстан (Татарстан), Казань, Кремлёвская улица</t>
  </si>
  <si>
    <t>Россия, Нижний Новгород, Кремль</t>
  </si>
  <si>
    <t>Россия, Омск, улица Ленина</t>
  </si>
  <si>
    <t>Россия, Самара, Чапаевская улица</t>
  </si>
  <si>
    <t>Россия, Ростов-на-Дону, Ворошиловский проспект</t>
  </si>
  <si>
    <t>Россия, Свердловская область, Екатеринбург, площадь 1905 года</t>
  </si>
  <si>
    <t>Россия, Удмуртская Республика, Ижевск, Центральная площадь</t>
  </si>
  <si>
    <t>350020 Россия, Краснодар, Красная улица, 135</t>
  </si>
  <si>
    <t>400012 Россия, Волгоград, Черноморская улица, 42</t>
  </si>
  <si>
    <t>Россия, Республика Башкортостан, Уфа, Революционная улица</t>
  </si>
  <si>
    <t>Россия, Великий Новгород, район Тарасовец</t>
  </si>
  <si>
    <t>Россия, городской округ Магадан</t>
  </si>
  <si>
    <t>Россия, Краснодарский край, Сочи, площадь Флага</t>
  </si>
  <si>
    <t>Россия, Севастополь, площадь Нахимова</t>
  </si>
  <si>
    <t>Россия, Свердловская область, Североуральск</t>
  </si>
  <si>
    <t>Россия, Оренбург, улица Михаила Фадеева</t>
  </si>
  <si>
    <t>Россия, Республика Башкортостан, Салават, проспект Нефтяников</t>
  </si>
  <si>
    <t>Россия, Новосибирск, улица Щетинкина</t>
  </si>
  <si>
    <t>Россия, Томск, площадь Ленина</t>
  </si>
  <si>
    <t>656066 Россия, Алтайский край, Барнаул, Одесская улица, 5</t>
  </si>
  <si>
    <t>Россия, Иркутск, Рабочая улица</t>
  </si>
  <si>
    <t>Россия, Ханты-Мансийский автономный округ — Югра, Сургут, улица Бажова</t>
  </si>
  <si>
    <t>629008 Россия, Ямало-Ненецкий автономный округ, Салехард, улица Республики, 65</t>
  </si>
  <si>
    <t>Россия, Ненецкий автономный округ, Нарьян-Мар, улица Смидовича</t>
  </si>
  <si>
    <t>Россия, Мурманск, Октябрьский округ, 101-й микрорайон</t>
  </si>
  <si>
    <t>Россия, Магадан</t>
  </si>
  <si>
    <t>Россия, городской округ Астрахань</t>
  </si>
  <si>
    <t>Россия, Республика Крым, Симферополь, Киевская улица</t>
  </si>
  <si>
    <t>Россия, Ярославль, Советская площадь</t>
  </si>
  <si>
    <t>Россия, Смоленск, улица Ленина</t>
  </si>
  <si>
    <t>Россия, Воронеж, улица Феоктистова</t>
  </si>
  <si>
    <t>Россия, Брянск, проспект Ленина</t>
  </si>
  <si>
    <t>Россия, Калуга, улица Кирова</t>
  </si>
  <si>
    <t>Россия, Республика Татарстан (Татарстан), Казань, Московский район</t>
  </si>
  <si>
    <t>Россия, Республика Марий Эл, Йошкар-Ола, 14-й квартал</t>
  </si>
  <si>
    <t>Россия, Красноярский край, Енисейский муниципальный округ, Енисейск, Пискарёвка</t>
  </si>
  <si>
    <t>Россия, Забайкальский край, Чита, площадь Ленина</t>
  </si>
  <si>
    <t>Россия, Иркутск, остров Конный, 5</t>
  </si>
  <si>
    <t>Россия, Ханты-Мансийский автономный округ — Югра, Сургут, Северо-Восточный жилой район, 34-й микрорайон</t>
  </si>
  <si>
    <t>634041 Россия, Томск, Киевская улица, 109/6</t>
  </si>
  <si>
    <t>Россия, Алтайский край, Барнаул, проспект Ленина</t>
  </si>
  <si>
    <t>Россия, Новосибирск, Красный проспект</t>
  </si>
  <si>
    <t>630090 Россия, Новосибирск, Советский район, микрорайон Академгородок, проспект Академика Лаврентьева, 5/2</t>
  </si>
  <si>
    <t>Россия, Новосибирск, улица Шевченко, 19/1к2</t>
  </si>
  <si>
    <t>Россия, Чувашская Республика — Чувашия, Чебоксары, микрорайон Лакреевский</t>
  </si>
  <si>
    <t>Россия, Рязань, улица Маяковского, 79</t>
  </si>
  <si>
    <t>Россия, Самара, Московское шоссе</t>
  </si>
  <si>
    <t>Россия, Краснодарский край, Новороссийск, улица Советов</t>
  </si>
  <si>
    <t>Россия, Краснодарский край, городской округ Сочи, курорт Красная Поляна</t>
  </si>
  <si>
    <t>Россия, Приморский край, Амурский залив</t>
  </si>
  <si>
    <t>Россия, Хабаровск, парк Динамо</t>
  </si>
  <si>
    <t>Россия, Амурская область, Благовещенск, улица Калинина</t>
  </si>
  <si>
    <t>Россия, Свердловская область, Красноуфимск</t>
  </si>
  <si>
    <t>Россия, Пермь, улица Старцева, 2АБ/40</t>
  </si>
  <si>
    <t>Россия, Тюмень, Центральная площадь</t>
  </si>
  <si>
    <t>640021 Россия, Курган, улица Пушкина, 161</t>
  </si>
  <si>
    <t>457042 Россия, Челябинская область, Южноуральск, Челябинская улица, 102А</t>
  </si>
  <si>
    <t>Россия, Челябинская область, Магнитогорск, Ленинский район</t>
  </si>
  <si>
    <t>Россия, Саратов, проспект имени Петра Столыпина</t>
  </si>
  <si>
    <t>453252 Россия, Республика Башкортостан, Салават, Северная улица, 15</t>
  </si>
  <si>
    <t>Россия, Республика Башкортостан, Уфа, улица 50-летия Октября</t>
  </si>
  <si>
    <t>Россия, Чувашская Республика — Чувашия, Чебоксары, микрорайон Благовещенский</t>
  </si>
  <si>
    <t>Россия, Республика Татарстан (Татарстан), Казань, улица Островского</t>
  </si>
  <si>
    <t>625003 Россия, Тюмень, улица Крупской, 21</t>
  </si>
  <si>
    <t>Россия, Свердловская область, Верхняя Салда</t>
  </si>
  <si>
    <t>Россия, Вологодская область, Череповецкий муниципальный округ, туристско-рекреационная местность Зелёная роща</t>
  </si>
  <si>
    <t>Россия, Красноярский край, Енисейский муниципальный округ, Енисейск</t>
  </si>
  <si>
    <t>Россия, Магадан, Городской парк</t>
  </si>
  <si>
    <t>Россия, Камчатский край, Петропавловск-Камчатский, Советская улица</t>
  </si>
  <si>
    <t>Россия, Республика Саха (Якутия), Якутск, улица Ломоносова</t>
  </si>
  <si>
    <t>Россия, Республика Саха (Якутия), Якутск, площадь Республики</t>
  </si>
  <si>
    <t>Россия, Московская область, Дубна, район Институтский</t>
  </si>
  <si>
    <t>Россия, Московская область, Дмитров, Загорская улица</t>
  </si>
  <si>
    <t>Россия, Московская область, Серпухов</t>
  </si>
  <si>
    <t>Россия, Москва, Южный административный округ, район Царицыно</t>
  </si>
  <si>
    <t>Россия, Московская область, Королёв, микрорайон Подлипки</t>
  </si>
  <si>
    <t>Россия, Москва, Северо-Восточный административный округ, район Лианозово</t>
  </si>
  <si>
    <t>129327 Россия, Москва, улица Менжинского, 23к1</t>
  </si>
  <si>
    <t>105064 Россия, Москва, улица Земляной Вал, 14-16с3</t>
  </si>
  <si>
    <t>119021 Россия, Москва, улица Льва Толстого, 16</t>
  </si>
  <si>
    <t>Россия, Московская область, Люберцы, Смирновская улица</t>
  </si>
  <si>
    <t>Россия, Москва, улица Ивана Гераськина</t>
  </si>
  <si>
    <t>Россия, Москва, Южный административный округ, район Бирюлёво Восточное</t>
  </si>
  <si>
    <t>142703 Россия, Московская область, Ленинский городской округ, Видное, 4-й микрорайон, микрорайон Солнечный, 4</t>
  </si>
  <si>
    <t>Россия, Москва, Юго-Западный административный округ, район Южное Бутово, КЖК Потапово</t>
  </si>
  <si>
    <t>Россия, Москва, район Троицк, квартал № 51</t>
  </si>
  <si>
    <t>142100 Россия, Московская область, Подольск, Революционный проспект, 60</t>
  </si>
  <si>
    <t>142100 Россия, Московская область, Подольск, Комсомольская улица, 1с47</t>
  </si>
  <si>
    <t>Россия, Московская область, Подольск, СНТ № 8, 3-я линия</t>
  </si>
  <si>
    <t>Россия, Московская область, 46Н-08850</t>
  </si>
  <si>
    <t>Россия, Московская область, Домодедово, микрорайон Белые Столбы</t>
  </si>
  <si>
    <t>Россия, Московская область, Воскресенск, микрорайон Новлянский</t>
  </si>
  <si>
    <t>Россия, Московская область, городской округ Ступино, деревня Проскурниково</t>
  </si>
  <si>
    <t>Россия, Московская область, городской округ Коломна, село Старое Бобренево</t>
  </si>
  <si>
    <t>630102 Россия, Новосибирск, улица Сакко и Ванцетти, 21</t>
  </si>
  <si>
    <t>630005 Россия, Новосибирск, улица Ольги Жилиной, 60</t>
  </si>
  <si>
    <t>109012, г Москва, Тверской р-н, Красная пл, д 9</t>
  </si>
  <si>
    <t>г Санкт-Петербург, Центральный р-н, Дворцовая пл</t>
  </si>
  <si>
    <t>420111, респ Татарстан, г Казань, Вахитовский р-н, ул Кремлевская, д 1</t>
  </si>
  <si>
    <t>603082, Нижегородская обл, г Нижний Новгород, Нижегородский р-н, тер Кремль, к 1</t>
  </si>
  <si>
    <t>644099, Омская обл, г Омск, Центральный округ, ул Тарская, д 4</t>
  </si>
  <si>
    <t>443010, Самарская обл, г Самара, Ленинский р-н, ул Чапаевская, д 186</t>
  </si>
  <si>
    <t>344006, Ростовская обл, г Ростов-на-Дону, Ворошиловский пр-кт, д 16/71</t>
  </si>
  <si>
    <t>620000, Свердловская обл, г Екатеринбург, пр-кт Ленина, д 29</t>
  </si>
  <si>
    <t>630005, Новосибирская обл, г Новосибирск, Центральный р-н, ул Ольги Жилиной, д 60</t>
  </si>
  <si>
    <t>426008, Удмуртская респ, г Ижевск, ул Карла Маркса, д 246</t>
  </si>
  <si>
    <t>350020, Краснодарский край, г Краснодар, ул Красная, д 135</t>
  </si>
  <si>
    <t>400012, Волгоградская обл, г Волгоград, Дзержинский р-н, ул Черноморская, д 50</t>
  </si>
  <si>
    <t>450077, респ Башкортостан, г Уфа, ул Цюрупы, д 93А</t>
  </si>
  <si>
    <t>173000, Новгородская обл, г Великий Новгород</t>
  </si>
  <si>
    <t>685024, Магаданская обл, г Магадан, ул Гагарина, д 14</t>
  </si>
  <si>
    <t>354061, Краснодарский край, г Сочи, ул Советская, д 26</t>
  </si>
  <si>
    <t>299011, г Севастополь, Ленинский р-н, пл Нахимова, зд 5</t>
  </si>
  <si>
    <t>624480, Свердловская обл, г Североуральск</t>
  </si>
  <si>
    <t>460006, Оренбургская обл, г Оренбург, ул Цвиллинга, д 2</t>
  </si>
  <si>
    <t>453261, респ Башкортостан, г Салават, пр-кт Нефтяников, д 1</t>
  </si>
  <si>
    <t>630099, Новосибирская обл, г Новосибирск, Центральный р-н, Красный пр-кт, д 32</t>
  </si>
  <si>
    <t>634050, Томская обл, г Томск, пр-кт Ленина, д 80а</t>
  </si>
  <si>
    <t>656066, Алтайский край, г Барнаул, Индустриальный р-н, ул Одесская, д 5</t>
  </si>
  <si>
    <t>664000, Иркутская обл, г Иркутск</t>
  </si>
  <si>
    <t>628417, Ханты-Мансийский Автономный округ - Югра, г Сургут, ул Бажова, д 2в</t>
  </si>
  <si>
    <t>629004, Ямало-Ненецкий а.окр., г Салехард, ул Республики, влд 65</t>
  </si>
  <si>
    <t>166000, Ненецкий а.окр., г Нарьян-Мар, ул Смидовича, д 21</t>
  </si>
  <si>
    <t>183039, Мурманская обл, г Мурманск, ул Полярные Зори, д 14</t>
  </si>
  <si>
    <t>685000, Магаданская обл, г Магадан</t>
  </si>
  <si>
    <t>414000, Астраханская обл, г Астрахань, ул Советская, д 2/1</t>
  </si>
  <si>
    <t>295034, респ Крым, г Симферополь, ул Киевская, д 60А</t>
  </si>
  <si>
    <t>150000, Ярославская обл, г Ярославль, Советская пл, д 7</t>
  </si>
  <si>
    <t>Смоленская обл, г Смоленск, пл Ленина</t>
  </si>
  <si>
    <t>394036, Воронежская обл, г Воронеж, ул Фридриха Энгельса, д 7</t>
  </si>
  <si>
    <t>241050, Брянская обл, г Брянск, Советский р-н, пр-кт Ленина, д 26А</t>
  </si>
  <si>
    <t>248001, Калужская обл, г Калуга, ул Кирова, д 56</t>
  </si>
  <si>
    <t>420095, респ Татарстан, г Казань, Московский р-н, ул Шамиля Усманова, д 29</t>
  </si>
  <si>
    <t>424000, респ Марий Эл, г Йошкар-Ола, ул Советская, д 138</t>
  </si>
  <si>
    <t>663180, Красноярский край, Енисейский р-н, г Енисейск, ул Рабоче-Крестьянская, д 225</t>
  </si>
  <si>
    <t>Забайкальский край, г Чита, пл Ленина</t>
  </si>
  <si>
    <t>664000, Иркутская обл, г Иркутс</t>
  </si>
  <si>
    <t>628426, Ханты-Мансийский Автономный округ - Югра, г Сургут, пр-кт Мира, д 55/1</t>
  </si>
  <si>
    <t>634012, Томская обл, г Томск, ул Киевская, д 84</t>
  </si>
  <si>
    <t>656002, Алтайский край, г Барнаул, Октябрьский р-н, пр-кт Ленина, д 102Б</t>
  </si>
  <si>
    <t>Новосибирская обл, г Новосибирск, метро Площадь Ленина</t>
  </si>
  <si>
    <t>630090, Новосибирская обл, г Новосибирск, Советский р-н, пр-кт Академика Лаврентьева, д 5/8</t>
  </si>
  <si>
    <t>630102, Новосибирская обл, г Новосибирск, Октябрьский р-н, ул Шевченко, д 19/1 к 4</t>
  </si>
  <si>
    <t>428003, Чувашская Республика - Чувашия, г Чебоксары, ул Федора Гладкова, д 18А</t>
  </si>
  <si>
    <t>390000, Рязанская обл, г Рязань, ул Маяковского, д 81</t>
  </si>
  <si>
    <t>443079, Самарская обл, г Самара, Октябрьский р-н, Московское шоссе, д 17г</t>
  </si>
  <si>
    <t>353900, Краснодарский край, г Новороссийск, ул Советов, д 7</t>
  </si>
  <si>
    <t>не нашел</t>
  </si>
  <si>
    <t>680000, Хабаровский край, г Хабаровск, Железнодорожный р-н, ул Карла Маркса, д 62</t>
  </si>
  <si>
    <t>675000, Амурская обл, г Благовещенск</t>
  </si>
  <si>
    <t>623300, Свердловская обл, г Красноуфимск, ул Ухтомского, д 33В</t>
  </si>
  <si>
    <t>614000, Пермский край, г Пермь</t>
  </si>
  <si>
    <t>Тюменская обл, г Тюмень, Центральная пл</t>
  </si>
  <si>
    <t>640021, Курганская обл, г Курган, ул Пушкина, д 161</t>
  </si>
  <si>
    <t>457042, Челябинская обл, г Южноуральск, ул Челябинская, д 102А</t>
  </si>
  <si>
    <t>455000, Челябинская обл, г Магнитогорск</t>
  </si>
  <si>
    <t>410012, Саратовская обл, г Саратов, Фрунзенский р-н, пр-кт им Петра Столыпина, д 1</t>
  </si>
  <si>
    <t>453250, респ Башкортостан, г Салават</t>
  </si>
  <si>
    <t>450005, респ Башкортостан, г Уфа, Советский р-н, ул 50-летия Октября, д 12</t>
  </si>
  <si>
    <t>428000, Чувашская Республика - Чувашия, г Чебоксары</t>
  </si>
  <si>
    <t>420107, респ Татарстан, г Казань, Вахитовский р-н, ул Островского, д 57Б</t>
  </si>
  <si>
    <t>625003, Тюменская обл, г Тюмень, ул Крупской, д 21</t>
  </si>
  <si>
    <t>624760, Свердловская обл, Верхнесалдинский р-н, г Верхняя Салда, ул Ленина, д 31</t>
  </si>
  <si>
    <t>663150, Красноярский край, Енисейский р-н, г Енисейск</t>
  </si>
  <si>
    <t>685000, Магаданская обл, г Магадан, пр-кт Ленина, д 21А</t>
  </si>
  <si>
    <t>683001, Камчатский край, г Петропавловск-Камчатский, ул Советская,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</si>
  <si>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</si>
  <si>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</si>
  <si>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 обл, г Дубна, ул В.И.Векслера, д 19</t>
  </si>
  <si>
    <t>141800, Московская обл, г Дмитров, ул Загорская, д 32А</t>
  </si>
  <si>
    <t>142200, Московская обл, г Серпухов, ул Верхняя Серпейка, д 5</t>
  </si>
  <si>
    <t>115516, г Москва, р-н Царицыно, ул Бехтерева, д 45 к 2</t>
  </si>
  <si>
    <t>141070, Московская обл, г Королёв, ул Пионерская, д 49а</t>
  </si>
  <si>
    <t>127572, г Москва, р-н Лианозово, ул Новгородская, д 22 к 1</t>
  </si>
  <si>
    <t>129327, г Москва, ул Менжинского, д 23 стр 1</t>
  </si>
  <si>
    <t>105064, г Москва, Басманный р-н, ул Земляной Вал, д 14-16 стр 3</t>
  </si>
  <si>
    <t>119021, г Москва, р-н Хамовники, ул Льва Толстого, д 19</t>
  </si>
  <si>
    <t>140000, Московская обл, г Люберцы, Октябрьский пр-кт, д 178</t>
  </si>
  <si>
    <t>109649, г Москва, р-н Капотня, кв-л 5-й Капотня, д 20 стр 2</t>
  </si>
  <si>
    <t>115598, г Москва, Бирюлево Восточное р-н, км 26-й Московской Кольцевой Автодороги, влд 10</t>
  </si>
  <si>
    <t>142703, Московская обл, г Видное, Солнечный мкр, д 4</t>
  </si>
  <si>
    <t>117041, г Москва, р-н Южное Бутово, Новопотаповский пр-д, д 3/5</t>
  </si>
  <si>
    <t>101000, г Москва, р-н Троицк, деревня Ватутинки</t>
  </si>
  <si>
    <t>142100, Московская обл, г Подольск, Революционный пр-кт, д 60</t>
  </si>
  <si>
    <t>142100, Московская обл, г Подольск</t>
  </si>
  <si>
    <t>142181, Московская обл, г Подольск, мкр Климовск, тер СНТ N8, д 54</t>
  </si>
  <si>
    <t>142184, Московская обл, г Подольск, село Сынково</t>
  </si>
  <si>
    <t>140207, Московская обл, г Воскресенск, ул Энгельса, д 7</t>
  </si>
  <si>
    <t>142800, Московская обл, г Ступино, деревня Проскурниково</t>
  </si>
  <si>
    <t>140480, Московская обл, г Коломна, село Старое Бобренево</t>
  </si>
  <si>
    <t>630102, Новосибирская обл, г Новосибирск, Октябрьский р-н, ул Зыряновская, д 27</t>
  </si>
  <si>
    <t>55.7552921 37.6176294</t>
  </si>
  <si>
    <t>55.7579795 37.611263</t>
  </si>
  <si>
    <t>55.7639781 37.6372038</t>
  </si>
  <si>
    <t>55.747186 37.586536</t>
  </si>
  <si>
    <t>55.752219 37.5923887</t>
  </si>
  <si>
    <t>55.7329539 37.627147</t>
  </si>
  <si>
    <t>55.7625866 37.6271387</t>
  </si>
  <si>
    <t>55.7671175 37.5601109</t>
  </si>
  <si>
    <t>55.7106177 37.5774773</t>
  </si>
  <si>
    <t>55.7817407 37.6325789</t>
  </si>
  <si>
    <t>59.93584 30.325866</t>
  </si>
  <si>
    <t>59.9401126 30.3128061</t>
  </si>
  <si>
    <t>59.928855 30.33866</t>
  </si>
  <si>
    <t>59.922972 30.309544</t>
  </si>
  <si>
    <t>59.9358328 30.3372245</t>
  </si>
  <si>
    <t>59.955775 30.329298</t>
  </si>
  <si>
    <t>адрес полностью совпадает, но координаты улицы</t>
  </si>
  <si>
    <t>59.954601 30.325085</t>
  </si>
  <si>
    <t xml:space="preserve">номер дома не совпадает </t>
  </si>
  <si>
    <t>59.9407562 30.3002204</t>
  </si>
  <si>
    <t>59.9338179 30.3484245</t>
  </si>
  <si>
    <t>56.8364135 60.6002825</t>
  </si>
  <si>
    <t>полное совпадение, только не дом а строение</t>
  </si>
  <si>
    <t>55.062889 82.91175</t>
  </si>
  <si>
    <t>индекс не совпадает, координаты улицы</t>
  </si>
  <si>
    <t>55.7907556 49.1216778</t>
  </si>
  <si>
    <t xml:space="preserve">индекс не совпадает </t>
  </si>
  <si>
    <t>56.3089103 43.9873194</t>
  </si>
  <si>
    <t>53.194324 50.0936898</t>
  </si>
  <si>
    <t>55.1598343 61.3981365</t>
  </si>
  <si>
    <t>54.9864413 73.3728233</t>
  </si>
  <si>
    <t>47.2217159 39.712198</t>
  </si>
  <si>
    <t>полное совпадение только не дом а здание</t>
  </si>
  <si>
    <t>54.761345 56.013339</t>
  </si>
  <si>
    <t>56.0118986 92.87363</t>
  </si>
  <si>
    <t>43.1163202 131.8821121</t>
  </si>
  <si>
    <t>52.286822 104.279714</t>
  </si>
  <si>
    <t>64.5405458 40.5131644</t>
  </si>
  <si>
    <t>57.6262585 39.889879</t>
  </si>
  <si>
    <t>адрес полностью совпадает, но координаты ближайщего дома</t>
  </si>
  <si>
    <t>54.185737 37.6099951</t>
  </si>
  <si>
    <t>51.7300242 36.1920874</t>
  </si>
  <si>
    <t>50.5942385 36.5940384</t>
  </si>
  <si>
    <t>43.550018 39.775981</t>
  </si>
  <si>
    <t>58.009992 56.237366</t>
  </si>
  <si>
    <t>51.6667123 39.2064422</t>
  </si>
  <si>
    <t>48.7184357 44.5305508</t>
  </si>
  <si>
    <t>51.53612 46.023758</t>
  </si>
  <si>
    <t>57.152014 65.543163</t>
  </si>
  <si>
    <t>53.5557723 49.2649926</t>
  </si>
  <si>
    <t>индекс не совпадает и вместо дом - владения</t>
  </si>
  <si>
    <t>56.8545438 53.2115568</t>
  </si>
  <si>
    <t>53.3465685 83.7792569</t>
  </si>
  <si>
    <t>54.9857909 73.3740491</t>
  </si>
  <si>
    <t>55.164773 61.40021</t>
  </si>
  <si>
    <t>58.5296301 31.2934211</t>
  </si>
  <si>
    <t>57.8134577 28.3478706</t>
  </si>
  <si>
    <t>54.7859266 32.0541465</t>
  </si>
  <si>
    <t>56.8607597 35.9027885</t>
  </si>
  <si>
    <t>57.7605736 40.9548918</t>
  </si>
  <si>
    <t>полное совпадение, но координаты улицы</t>
  </si>
  <si>
    <t>56.1282796 40.41012</t>
  </si>
  <si>
    <t>54.629336 39.742079</t>
  </si>
  <si>
    <t>52.5968227 39.5675642</t>
  </si>
  <si>
    <t>52.7218767 41.4530709</t>
  </si>
  <si>
    <t>54.3136062 48.3962881</t>
  </si>
  <si>
    <t>44.6084848 40.1044887</t>
  </si>
  <si>
    <t>51.7201129 94.4395318</t>
  </si>
  <si>
    <t>53.7215479 91.4422058</t>
  </si>
  <si>
    <t>полное совпадение, только не ул. А проспект</t>
  </si>
  <si>
    <t>66.5264178 66.606642</t>
  </si>
  <si>
    <t>53.0109741 158.6528568</t>
  </si>
  <si>
    <t>46.9631253 142.7274316</t>
  </si>
  <si>
    <t>59.5690973 150.8086123</t>
  </si>
  <si>
    <t>64.7350925 177.5109876</t>
  </si>
  <si>
    <t>55.917825 37.868993</t>
  </si>
  <si>
    <t>56.010123 37.8504139</t>
  </si>
  <si>
    <t>60.0212396 30.6537152</t>
  </si>
  <si>
    <t>60.7108312 28.7375567</t>
  </si>
  <si>
    <t>57.2550735 60.102993</t>
  </si>
  <si>
    <t>55.7692536 60.6943145</t>
  </si>
  <si>
    <t>55.0814688 21.8892383</t>
  </si>
  <si>
    <t>43.7974872 131.9533744</t>
  </si>
  <si>
    <t>53.189897 158.382547</t>
  </si>
  <si>
    <t>Полное совпадение адреса, но координаты улицы</t>
  </si>
  <si>
    <t>48.5813281 45.7376178</t>
  </si>
  <si>
    <t>55.889074 37.445501</t>
  </si>
  <si>
    <t>55.7516057 38.0120612</t>
  </si>
  <si>
    <t>город не совпадает, а железнодорожный это мкр</t>
  </si>
  <si>
    <t>59.848805 30.322318</t>
  </si>
  <si>
    <t>56.82306 60.61916</t>
  </si>
  <si>
    <t>55.018571 82.937764</t>
  </si>
  <si>
    <t>55.7902728 49.1152324</t>
  </si>
  <si>
    <t>56.3276304 43.9843073</t>
  </si>
  <si>
    <t>53.184931 50.100783</t>
  </si>
  <si>
    <t>55.1593954 61.3991392</t>
  </si>
  <si>
    <t>55.016452 73.3179925</t>
  </si>
  <si>
    <t>55.7384798 37.5959282</t>
  </si>
  <si>
    <t>59.925363 30.3436526</t>
  </si>
  <si>
    <t>59.92543 30.343716</t>
  </si>
  <si>
    <t xml:space="preserve">номер дома 5 </t>
  </si>
  <si>
    <t>56.836094 60.614637</t>
  </si>
  <si>
    <t>индекс не совпадает и координаты ближайщего дома</t>
  </si>
  <si>
    <t>55.036938 82.91636</t>
  </si>
  <si>
    <t>55.7811636 49.1132881</t>
  </si>
  <si>
    <t>55.781241 49.113295</t>
  </si>
  <si>
    <t>номер лома и индекс не совпадают</t>
  </si>
  <si>
    <t>56.3241821 44.0077287</t>
  </si>
  <si>
    <t>53.2006079 50.1092544</t>
  </si>
  <si>
    <t>55.1579118 61.3853015</t>
  </si>
  <si>
    <t>54.9856412 73.3754812</t>
  </si>
  <si>
    <t>54.985313 73.375174</t>
  </si>
  <si>
    <t>47.220741 39.709122</t>
  </si>
  <si>
    <t>DaData
Комментарий</t>
  </si>
  <si>
    <t>55.753858 37.621751</t>
  </si>
  <si>
    <t>55.760863 37.60638</t>
  </si>
  <si>
    <t>55.768951 37.639713</t>
  </si>
  <si>
    <t>55.748361 37.597951</t>
  </si>
  <si>
    <t>55.754894 37.585861</t>
  </si>
  <si>
    <t>55.738951 37.618003</t>
  </si>
  <si>
    <t>55.762896 37.623643</t>
  </si>
  <si>
    <t>55.754893 37.579486</t>
  </si>
  <si>
    <t>55.718653 37.571986</t>
  </si>
  <si>
    <t>55.780133 37.623365</t>
  </si>
  <si>
    <t>59.9342802 30.3350986</t>
  </si>
  <si>
    <t>59.93898 30.31645</t>
  </si>
  <si>
    <t>59.930888, 30.333568</t>
  </si>
  <si>
    <t>59.928368, 30.329223</t>
  </si>
  <si>
    <t>59.938630, 30.323780</t>
  </si>
  <si>
    <t>59.938630, 30.347510</t>
  </si>
  <si>
    <t>59.958611, 30.278722</t>
  </si>
  <si>
    <t>59.940623, 30.289959</t>
  </si>
  <si>
    <t>59.940836, 30.333673</t>
  </si>
  <si>
    <t>59.938630, 30.346760</t>
  </si>
  <si>
    <t>56.839418, 60.595644</t>
  </si>
  <si>
    <t>55.028388, 82.923285</t>
  </si>
  <si>
    <t>55.796386, 49.107633</t>
  </si>
  <si>
    <t>56.3294, 44.0042</t>
  </si>
  <si>
    <t>53.2085, 50.1443</t>
  </si>
  <si>
    <t>55.1588, 61.4253</t>
  </si>
  <si>
    <t>54.9889, 73.3689</t>
  </si>
  <si>
    <t>47.218968, 39.711718</t>
  </si>
  <si>
    <t>54.796944, 55.980833</t>
  </si>
  <si>
    <t>56.0184, 92.8672</t>
  </si>
  <si>
    <t>43.1186, 131.8943</t>
  </si>
  <si>
    <t>54.718933, 20.512734</t>
  </si>
  <si>
    <t>52.2893, 104.2821</t>
  </si>
  <si>
    <t>68.968344, 33.086651</t>
  </si>
  <si>
    <t>64.581851, 40.531768</t>
  </si>
  <si>
    <t>57.6298, 39.8733</t>
  </si>
  <si>
    <t>54.198611, 37.618889</t>
  </si>
  <si>
    <t>51.738933, 36.199933</t>
  </si>
  <si>
    <t>50.639483, 36.605613</t>
  </si>
  <si>
    <t>43.589233, 39.722563</t>
  </si>
  <si>
    <t>58.009944, 56.238333</t>
  </si>
  <si>
    <t>51.681848, 39.201533</t>
  </si>
  <si>
    <t>48.709389, 44.518344</t>
  </si>
  <si>
    <t>51.5386, 46.0013</t>
  </si>
  <si>
    <t>57.159813, 65.530864</t>
  </si>
  <si>
    <t>53.489611, 49.317561</t>
  </si>
  <si>
    <t>56.859338, 53.230716</t>
  </si>
  <si>
    <t>53.328933, 83.767554</t>
  </si>
  <si>
    <t>55.1488, 61.4168</t>
  </si>
  <si>
    <t>58.519784, 31.274728</t>
  </si>
  <si>
    <t>57.829444, 28.332778</t>
  </si>
  <si>
    <t>54.7896, 32.0429</t>
  </si>
  <si>
    <t>56.8591, 35.9108</t>
  </si>
  <si>
    <t>57.7689, 40.9224</t>
  </si>
  <si>
    <t>56.139183, 40.413478</t>
  </si>
  <si>
    <t>54.6281, 39.7401</t>
  </si>
  <si>
    <t>52.610556, 39.591667</t>
  </si>
  <si>
    <t>52.738606 41.447213</t>
  </si>
  <si>
    <t>54.3190 48.3883</t>
  </si>
  <si>
    <t>44.5996 40.1001</t>
  </si>
  <si>
    <t>56.859167 53.213889</t>
  </si>
  <si>
    <t>51.738906 94.447555</t>
  </si>
  <si>
    <t>53.731894, 91.441656</t>
  </si>
  <si>
    <t>67.63016 66.56761</t>
  </si>
  <si>
    <t>53.039186 158.691453</t>
  </si>
  <si>
    <t>46.958183, 142.733553</t>
  </si>
  <si>
    <t>59.563111 150.803333</t>
  </si>
  <si>
    <t>64.741111 177.509167</t>
  </si>
  <si>
    <t>55.088056 36.605556</t>
  </si>
  <si>
    <t>55.9801 37.8283</t>
  </si>
  <si>
    <t>56.018901 37.813351</t>
  </si>
  <si>
    <t>60.092638 30.622583</t>
  </si>
  <si>
    <t>60.71198 28.73063</t>
  </si>
  <si>
    <t>57.2896 60.2253</t>
  </si>
  <si>
    <t>55.897338 60.734278</t>
  </si>
  <si>
    <t>55.096336 21.936334</t>
  </si>
  <si>
    <t>43.8243 131.9458</t>
  </si>
  <si>
    <t>52.9468 158.2311</t>
  </si>
  <si>
    <t>48.3953 47.1638</t>
  </si>
  <si>
    <t>55.890903, 37.410323</t>
  </si>
  <si>
    <t>55.7141 37.8809</t>
  </si>
  <si>
    <t>59.836183, 30.301288</t>
  </si>
  <si>
    <t>56.839164 60.602758</t>
  </si>
  <si>
    <t>55.019812, 82.916623</t>
  </si>
  <si>
    <t>55.7935 49.1101</t>
  </si>
  <si>
    <t>56.3289 44.0034</t>
  </si>
  <si>
    <t>53.208983, 50.130263</t>
  </si>
  <si>
    <t>55.1598 61.4211</t>
  </si>
  <si>
    <t>54.980108, 73.386253</t>
  </si>
  <si>
    <t>55.7418 37.5978</t>
  </si>
  <si>
    <t>59.928683 30.333573</t>
  </si>
  <si>
    <t>56.839503 60.604133</t>
  </si>
  <si>
    <t>55.028934, 82.921678</t>
  </si>
  <si>
    <t>55.8098 49.1341</t>
  </si>
  <si>
    <t>56.328933 44.006238</t>
  </si>
  <si>
    <t>53.201383, 50.142573</t>
  </si>
  <si>
    <t>55.146603 61.413763</t>
  </si>
  <si>
    <t>54.983141, 73.363458</t>
  </si>
  <si>
    <t>47.218933 39.714283</t>
  </si>
  <si>
    <t>109012 Москва, Красная площадь, д. 3</t>
  </si>
  <si>
    <t>191025 Санкт-Петербург, Центральный район, Невский проспект, дом 70</t>
  </si>
  <si>
    <t>420081, Россия, Республика Татарстан, Казань, улица Патриса Лумумбы, дом 27</t>
  </si>
  <si>
    <t>603004, Россия, Нижегородская область, Нижний Новгород, улица Большая Покровская, дом 62</t>
  </si>
  <si>
    <t>644029 Омская область, г. Омск, ул. Магистральная, д. 2</t>
  </si>
  <si>
    <t>445035 Самарская область, г. Тольятти, ул. Ярославская, д. 12</t>
  </si>
  <si>
    <t>344068 Российская Федерация, Ростовская область, город Ростов-на-Дону, проспект Михаила Нагибина, дом 28А</t>
  </si>
  <si>
    <t>620144 Российская Федерация, Свердловская область, город Екатеринбург, улица Щербакова, дом 2</t>
  </si>
  <si>
    <t>630123 Новосибирская область, г. Новосибирск, ул. Богдашкина, д. 4</t>
  </si>
  <si>
    <t>426033 Российская Федерация, Удмуртская Республика, г. Ижевск, ул. Красногеройская, д. 19</t>
  </si>
  <si>
    <t>352900 Российская Федерация, Краснодарский край, город Армавир, улица Дзержинского, дом № 101</t>
  </si>
  <si>
    <t>400081 Волгоградская область, г. Волгоград, ул. Рабоче-Крестьянская, д. 43</t>
  </si>
  <si>
    <t>Республика Башкортостан, г. Салават, ул. Губкина, д. 1</t>
  </si>
  <si>
    <t>Российская Федерация, Камчатский край, Петропавловск-Камчатский городской округ, проспект Победы, д. 55</t>
  </si>
  <si>
    <t>187453 Российская Федерация, Ленинградская область, Волховский район, деревня Иссад, улица Центральная, дом 9А</t>
  </si>
  <si>
    <t>354000 Российская Федерация, Краснодарский край, город Сочи, Центральный район, улица Горького, дом № 45</t>
  </si>
  <si>
    <t>296700 Республика Крым, Бахчисарайский район, село Малосадовое, улица Молодёжная, дом №8</t>
  </si>
  <si>
    <t>Российская Федерация, Пермский край, городской округ Добрянка, посёлок Полазна, улица Заводская, дом № 1</t>
  </si>
  <si>
    <t>Российская Федерация, Оренбургская область, город Орск</t>
  </si>
  <si>
    <t>Россия, Республика Башкортостан, г. Салават</t>
  </si>
  <si>
    <t>630102 Российская Федерация, Новосибирская область, город Новосибирск, улица Державина, дом 23</t>
  </si>
  <si>
    <t>634021 Томская область, город Томск, улица Тверская, дом 43</t>
  </si>
  <si>
    <t>644085 Россия, Омская область, город Омск, улица Богдана Хмельницкого, дом 201</t>
  </si>
  <si>
    <t>664000 Иркутская область, город Иркутск, улица Байкальская, дом 254</t>
  </si>
  <si>
    <t>628181 Российская Федерация, Тюменская область, Ханты-Мансийский автономный округ — Югра, город Нягань, улица Сибирская, дом 1</t>
  </si>
  <si>
    <t>629420 Россия, Ямало-Ненецкий автономный округ, Красноярский район, посёлок Харп</t>
  </si>
  <si>
    <t>629806 Российская Федерация, Ямало-Ненецкий автономный округ, город Ноябрьск, улица Ленина, дом 59</t>
  </si>
  <si>
    <t>663330 Российская Федерация, Мурманская область, город Норильск, улица Талнахская, дом 68</t>
  </si>
  <si>
    <t>684005 Россия, Камчатский край, Усть-Большерецкий район</t>
  </si>
  <si>
    <t>403850 Россия, Волгоградская область, город Камышин, улица Некрасова, дом № 1</t>
  </si>
  <si>
    <t>297000 Республика Крым, город Судак, улица Ленина, дом №10</t>
  </si>
  <si>
    <t>152020, Россия, Ярославская область, город Рыбинск, улица Чкалова, дом 58</t>
  </si>
  <si>
    <t>215800 Российская Федерация, Смоленская область, город Ярцево, улица Гагарина, дом №9</t>
  </si>
  <si>
    <t>398050 Россия, Воронежская область, город Липецк, улица Московская, дом 3</t>
  </si>
  <si>
    <t>216500 Российская Федерация, Смоленская область, город Рославль, улица Энгельса, дом №8</t>
  </si>
  <si>
    <t>301840 Российская Федерация, Тульская область, город Ефремов, улица Ленина, дом №9</t>
  </si>
  <si>
    <t>423800 Российская Федерация, Республика Татарстан, г. Набережные Челны, проспект Мира, дом № 83</t>
  </si>
  <si>
    <t>428012 Чувашская Республика, город Чебоксары, улица Эльменя, дом 2</t>
  </si>
  <si>
    <t>648000 Россия, Красноярский край, Эвенкийский район</t>
  </si>
  <si>
    <t>672000 Россия, Забайкальский край, город Чита, улица Красной Звезды, дом 2</t>
  </si>
  <si>
    <t>666034 Российская Федерация, Иркутская область, город Шелехов, микрорайон 4-й, дом №11</t>
  </si>
  <si>
    <t>628181 Российская Федерация, Тюменская область, Ханты-Мансийский автономный округ — Югра, город Нягань, улица Сибирская, дом 9</t>
  </si>
  <si>
    <t>654000 Российская Федерация, Кемеровская область, город Новокузнецк, улица Орджоникидзе, дом 23</t>
  </si>
  <si>
    <t>646530 Россия, Омская область, город Тара, улица Ленина, дом №10</t>
  </si>
  <si>
    <t>630123 Российская Федерация, Новосибирская область, город Новосибирск, улица Державина, дом 23</t>
  </si>
  <si>
    <t>630089 Российская Федерация, Новосибирская область, город Новосибирск, улица Вилюйская, дом 4</t>
  </si>
  <si>
    <t>630123 Российская Федерация, Новосибирская область, город Новосибирск, улица Вилюйская, дом 4</t>
  </si>
  <si>
    <t>603000 Россия, Нижегородская область, город Нижний Новгород, улица Большая Покровская, дом 61</t>
  </si>
  <si>
    <t>301650 Российская Федерация, Тульская область, город Новомосковск, улица Садовая, дом №8</t>
  </si>
  <si>
    <t>443004 Самара, улица XXII Партсъезда, дом 18</t>
  </si>
  <si>
    <t>360004 Российская Федерация, Кабардино-Балкарская Республика, город Нальчик, улица Ахохова, дом №9</t>
  </si>
  <si>
    <t>690035 Владивосток, улица Бурачка, дом 19</t>
  </si>
  <si>
    <t>680000 Российская Федерация, Хабаровский край, город Хабаровск, улица Дикопольцева, дом 43</t>
  </si>
  <si>
    <t>675000 Российская Федерация, Амурская область, город Благовещенск, улица Политехническая, дом № 80</t>
  </si>
  <si>
    <t>672000 Россия, Забайкальский край, город Чита, улица Красной Звезды, дом 28</t>
  </si>
  <si>
    <t>624351 Российская Федерация, Свердловская область, город Качканар, улица Молодёжная, дом 12</t>
  </si>
  <si>
    <t>618350 Российская Федерация, Пермский край, город Кизел</t>
  </si>
  <si>
    <t>628600 Российская Федерация, Тюменская область, Ханты-Мансийский автономный округ — Югра, город Нижневартовск, улица Мира, дом 45</t>
  </si>
  <si>
    <t>646530 Российская Федерация, Омская область, город Тара, улица Ленина, дом №9</t>
  </si>
  <si>
    <t>456200 Российская Федерация, Челябинская область, город Златоуст, улица Калинина, дом №8</t>
  </si>
  <si>
    <t>453256 Российская Федерация, Республика Башкортостан, город Салават, улица Юлаева, дом №8</t>
  </si>
  <si>
    <t>446208 Российская Федерация, Самарская область, город Новокуйбышевск, улица Мира, дом 9</t>
  </si>
  <si>
    <t>453256 Российская Федерация, Республика Башкортостан, город Салават, улица Губкина, дом №13</t>
  </si>
  <si>
    <t>453256 Республика Башкортостан, г. Салават, ул. Губкина, д. 8</t>
  </si>
  <si>
    <t>603000 Российская Федерация, Нижегородская область, город Нижний Новгород, улица Большая Покровская, дом 8</t>
  </si>
  <si>
    <t>420138 Российская Федерация, Республика Татарстан, г. Казань, ул. Рихарда Зорге, д. 60</t>
  </si>
  <si>
    <t>603006 Российская Федерация, Нижегородская область, город Нижний Новгород, улица Большая Покровская, дом 63</t>
  </si>
  <si>
    <t>628181 Российская Федерация, Тюменская область, Ханты-Мансийский автономный округ — Югра, город Нягань, улица Сибирская, дом 8</t>
  </si>
  <si>
    <t>622003 г. Нижний Тагил, Свердловская область, ул. Индустриальная, д. 32</t>
  </si>
  <si>
    <t>162390 Российская Федерация, Вологодская область, город Великий Устюг, улица Набережная, дом №8</t>
  </si>
  <si>
    <t>648490 Красноярский край, Эвенкийский район, село Байкит</t>
  </si>
  <si>
    <t>684410 Камчатский край, Усть-Камчатский район, посёлок Ключи</t>
  </si>
  <si>
    <t>683000 г. Петропавловск-Камчатский, Камчатский край, Россия</t>
  </si>
  <si>
    <t>677000 Российская Федерация, Республика Саха (Якутия), город Якутск, улица Курашова, дом 30</t>
  </si>
  <si>
    <t>677000 Российская Федерация, Республика Саха (Якутия), город Якутск, улица Аммосова, дом 8</t>
  </si>
  <si>
    <t>141301, Россия, Московская область, Сергиево-Посадский городской округ, город Сергиев Посад, проспект Красной Армии, дом 148</t>
  </si>
  <si>
    <t>141326 Московская область, Сергиево-Посадский городской округ, деревня Березняки</t>
  </si>
  <si>
    <t>301650 Российская Федерация, Тульская область, город Новомосковск, улица Генерала Белика, дом 8</t>
  </si>
  <si>
    <t>142060 Российская Федерация, Московская область, городской округ Домодедово, деревня Образцово</t>
  </si>
  <si>
    <t>141142 Московская область, городской округ Щёлково, деревня Медвежьи Озёра, улица Заречная</t>
  </si>
  <si>
    <t>143441 Московская область, Красногорский район, посёлок Отрадное</t>
  </si>
  <si>
    <t>127254 г. Москва, Алтуфьевское шоссе, дом 31А</t>
  </si>
  <si>
    <t>101000 Российская Федерация, Москва, Красная площадь, дом 1</t>
  </si>
  <si>
    <t>121108 Российская Федерация, Москва, улица Минская, дом 1Г</t>
  </si>
  <si>
    <t>140125 Московская область, Раменский городской округ, деревня Островцы</t>
  </si>
  <si>
    <t xml:space="preserve">140141 Московская область, Раменский городской округ, село Верхнее Мячково </t>
  </si>
  <si>
    <t>142060 Московская область, городской округ Домодедово, деревня Павловское, улица Центральная, дом 1</t>
  </si>
  <si>
    <t>142703 Московская область, Ленинский городской округ, посёлок Битца</t>
  </si>
  <si>
    <t>143391 Московская область, Наро-Фоминский городской округ, деревня Субботино</t>
  </si>
  <si>
    <t>108811 Московская область, Ленинский городской округ, деревня Румянцево</t>
  </si>
  <si>
    <t>143089 Московская область, Одинцовский городской округ, деревня Раздолье, улица Центральная, дом №8</t>
  </si>
  <si>
    <t>143345 Московская область, Наро-Фоминский городской округ, посёлок Селятино</t>
  </si>
  <si>
    <t>141309 Московская область, городской округ Сергиев Посад, деревня Березняки</t>
  </si>
  <si>
    <t>141321 Московская область, Сергиево-Посадский городской округ, деревня Березняки</t>
  </si>
  <si>
    <t>141309 Российская Федерация, Московская область, Сергиево-Посадский городской округ, деревня Березняки</t>
  </si>
  <si>
    <t>142200 Российская Федерация, Московская область, город Серпухов, улица Чернышевского, дом 41</t>
  </si>
  <si>
    <t>630128 Российская Федерация, Новосибирская область, город Новосибирск, улица Кутателадзе, дом 4</t>
  </si>
  <si>
    <t>Частичное совпадение</t>
  </si>
  <si>
    <t>Полное совпадение</t>
  </si>
  <si>
    <t>только город</t>
  </si>
  <si>
    <t>только улица</t>
  </si>
  <si>
    <t>Нет совпадений</t>
  </si>
  <si>
    <t>только республика</t>
  </si>
  <si>
    <t>только район и город</t>
  </si>
  <si>
    <t>город + район</t>
  </si>
  <si>
    <t>только округ</t>
  </si>
  <si>
    <t>только область</t>
  </si>
  <si>
    <t>координаты соответствуют адресу</t>
  </si>
  <si>
    <t>Номер дома не совпадает</t>
  </si>
  <si>
    <t xml:space="preserve">Не совпадает улица, город </t>
  </si>
  <si>
    <t>Яндекс.Геокодер
совпадение</t>
  </si>
  <si>
    <t>DaData
Совпадение</t>
  </si>
  <si>
    <t>GigaChat
Совпадение</t>
  </si>
  <si>
    <t>Всего адресов:</t>
  </si>
  <si>
    <t>другая улица/город</t>
  </si>
  <si>
    <t>Детелизация до номера дома</t>
  </si>
  <si>
    <t>дом</t>
  </si>
  <si>
    <t>улица</t>
  </si>
  <si>
    <t>город</t>
  </si>
  <si>
    <t>Всего записей:</t>
  </si>
  <si>
    <t>Детализация до улицы/города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</si>
</sst>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Calibri"/>
      <family val="2"/>
      <charset val="204"/>
      <scheme val="minor"/>
    </font>
    <font>
      <sz val="12"/>
      <color rgb="FF0F1115"/>
      <name val="Helvetica Neue"/>
      <family val="2"/>
    </font>
    <font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rgb="FF292A2E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292A2E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  <font>
      <b/>
      <sz val="16"/>
      <color rgb="FF292A2E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1" fillId="0" borderId="2" xfId="0" applyFont="1" applyBorder="1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wrapText="1"/>
    </xf>
    <xf numFmtId="0" fontId="6" fillId="0" borderId="0" xfId="0" applyFont="1" applyAlignment="1"/>
    <xf numFmtId="0" fontId="0" fillId="0" borderId="0" xfId="0" applyFont="1" applyFill="1" applyAlignment="1">
      <alignment wrapText="1"/>
    </xf>
    <xf numFmtId="0" fontId="5" fillId="0" borderId="1" xfId="0" applyFont="1" applyBorder="1" applyAlignment="1"/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3" xfId="0" applyFont="1" applyBorder="1"/>
    <xf numFmtId="0" fontId="0" fillId="0" borderId="4" xfId="0" applyFont="1" applyBorder="1"/>
    <xf numFmtId="0" fontId="9" fillId="0" borderId="4" xfId="0" applyFont="1" applyBorder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0" fillId="2" borderId="6" xfId="0" applyFont="1" applyFill="1" applyBorder="1"/>
    <xf numFmtId="0" fontId="0" fillId="2" borderId="0" xfId="0" applyFont="1" applyFill="1" applyBorder="1"/>
    <xf numFmtId="0" fontId="0" fillId="3" borderId="6" xfId="0" applyFont="1" applyFill="1" applyBorder="1"/>
    <xf numFmtId="0" fontId="0" fillId="3" borderId="0" xfId="0" applyFont="1" applyFill="1" applyBorder="1"/>
    <xf numFmtId="0" fontId="0" fillId="4" borderId="6" xfId="0" applyFont="1" applyFill="1" applyBorder="1"/>
    <xf numFmtId="0" fontId="0" fillId="4" borderId="0" xfId="0" applyFont="1" applyFill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9" fillId="0" borderId="3" xfId="0" applyFont="1" applyBorder="1"/>
    <xf numFmtId="0" fontId="9" fillId="2" borderId="0" xfId="0" applyFont="1" applyFill="1" applyBorder="1"/>
    <xf numFmtId="0" fontId="10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6" xfId="0" applyFont="1" applyBorder="1"/>
    <xf numFmtId="0" fontId="9" fillId="3" borderId="0" xfId="0" applyFont="1" applyFill="1" applyBorder="1"/>
    <xf numFmtId="0" fontId="9" fillId="4" borderId="0" xfId="0" applyFont="1" applyFill="1" applyBorder="1"/>
    <xf numFmtId="0" fontId="9" fillId="0" borderId="0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0" fillId="0" borderId="9" xfId="0" applyFont="1" applyBorder="1"/>
    <xf numFmtId="0" fontId="9" fillId="0" borderId="10" xfId="0" applyFont="1" applyBorder="1"/>
    <xf numFmtId="0" fontId="9" fillId="0" borderId="0" xfId="0" applyFont="1" applyBorder="1" applyAlignment="1">
      <alignment wrapText="1"/>
    </xf>
    <xf numFmtId="0" fontId="9" fillId="2" borderId="6" xfId="0" applyFont="1" applyFill="1" applyBorder="1"/>
    <xf numFmtId="0" fontId="9" fillId="3" borderId="6" xfId="0" applyFont="1" applyFill="1" applyBorder="1"/>
    <xf numFmtId="0" fontId="9" fillId="4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tabSelected="1" topLeftCell="C1" zoomScale="50" zoomScaleNormal="50" workbookViewId="0">
      <selection activeCell="K8" sqref="K8"/>
    </sheetView>
  </sheetViews>
  <sheetFormatPr defaultColWidth="11.19921875" defaultRowHeight="15.6"/>
  <cols>
    <col min="1" max="1" width="40.8984375" style="5" customWidth="1"/>
    <col min="2" max="2" width="19" style="3" customWidth="1"/>
    <col min="3" max="3" width="19.8984375" style="1" customWidth="1"/>
    <col min="4" max="4" width="12.296875" style="2" hidden="1" customWidth="1"/>
    <col min="5" max="6" width="21.69921875" customWidth="1"/>
    <col min="7" max="7" width="10.796875" style="2" hidden="1" customWidth="1"/>
    <col min="8" max="9" width="20.19921875" customWidth="1"/>
    <col min="10" max="10" width="0" hidden="1" customWidth="1"/>
    <col min="13" max="13" width="20.796875" customWidth="1"/>
    <col min="14" max="14" width="31.19921875" customWidth="1"/>
    <col min="15" max="15" width="22" customWidth="1"/>
  </cols>
  <sheetData>
    <row r="1" spans="1:26" ht="35.4" customHeight="1">
      <c r="A1" s="12" t="s">
        <v>100</v>
      </c>
      <c r="B1" s="13" t="s">
        <v>201</v>
      </c>
      <c r="C1" s="13" t="s">
        <v>839</v>
      </c>
      <c r="D1" s="13" t="s">
        <v>222</v>
      </c>
      <c r="E1" s="13" t="s">
        <v>202</v>
      </c>
      <c r="F1" s="13" t="s">
        <v>840</v>
      </c>
      <c r="G1" s="13" t="s">
        <v>629</v>
      </c>
      <c r="H1" s="13" t="s">
        <v>203</v>
      </c>
      <c r="I1" s="15" t="s">
        <v>841</v>
      </c>
      <c r="J1" s="14"/>
      <c r="M1" s="16"/>
      <c r="N1" s="17"/>
      <c r="O1" s="18" t="s">
        <v>201</v>
      </c>
      <c r="P1" s="19" t="s">
        <v>202</v>
      </c>
      <c r="Q1" s="20" t="s">
        <v>203</v>
      </c>
      <c r="R1" s="5"/>
      <c r="S1" s="5"/>
      <c r="T1" s="5"/>
      <c r="U1" s="5"/>
      <c r="V1" s="5"/>
      <c r="W1" s="5"/>
      <c r="X1" s="5"/>
      <c r="Y1" s="5"/>
      <c r="Z1" s="5"/>
    </row>
    <row r="2" spans="1:26" ht="46.8">
      <c r="A2" s="10" t="s">
        <v>0</v>
      </c>
      <c r="B2" s="8" t="s">
        <v>204</v>
      </c>
      <c r="C2" s="7" t="s">
        <v>827</v>
      </c>
      <c r="D2" s="7" t="s">
        <v>285</v>
      </c>
      <c r="E2" s="6" t="s">
        <v>516</v>
      </c>
      <c r="F2" s="7" t="s">
        <v>827</v>
      </c>
      <c r="G2" s="7" t="s">
        <v>226</v>
      </c>
      <c r="H2" s="6" t="s">
        <v>630</v>
      </c>
      <c r="I2" s="7" t="s">
        <v>826</v>
      </c>
      <c r="J2" s="7" t="s">
        <v>322</v>
      </c>
      <c r="M2" s="21" t="s">
        <v>827</v>
      </c>
      <c r="N2" s="22" t="s">
        <v>836</v>
      </c>
      <c r="O2" s="33">
        <f>COUNTIF(C2:C101,"полное совпадение")</f>
        <v>81</v>
      </c>
      <c r="P2" s="33">
        <f>COUNTIF(F2:F101,"полное совпадение")</f>
        <v>83</v>
      </c>
      <c r="Q2" s="34">
        <f>COUNTIF(I2:I101,"полное совпадение")</f>
        <v>0</v>
      </c>
      <c r="R2" s="5"/>
      <c r="S2" s="5"/>
      <c r="T2" s="5"/>
      <c r="U2" s="5"/>
      <c r="V2" s="5"/>
      <c r="W2" s="5"/>
      <c r="X2" s="5"/>
      <c r="Y2" s="5"/>
      <c r="Z2" s="5"/>
    </row>
    <row r="3" spans="1:26" ht="46.8">
      <c r="A3" s="10" t="s">
        <v>1</v>
      </c>
      <c r="B3" s="8" t="s">
        <v>205</v>
      </c>
      <c r="C3" s="7" t="s">
        <v>827</v>
      </c>
      <c r="D3" s="11"/>
      <c r="E3" s="6" t="s">
        <v>517</v>
      </c>
      <c r="F3" s="7" t="s">
        <v>827</v>
      </c>
      <c r="G3" s="7" t="s">
        <v>226</v>
      </c>
      <c r="H3" s="6" t="s">
        <v>631</v>
      </c>
      <c r="I3" s="6" t="s">
        <v>830</v>
      </c>
      <c r="J3" s="6" t="s">
        <v>828</v>
      </c>
      <c r="M3" s="23" t="s">
        <v>826</v>
      </c>
      <c r="N3" s="24" t="s">
        <v>837</v>
      </c>
      <c r="O3" s="33">
        <f>COUNTIF(C2:C101,"частичное совпадение")</f>
        <v>19</v>
      </c>
      <c r="P3" s="33">
        <f>COUNTIF(F2:F101,"частичное совпадение")</f>
        <v>17</v>
      </c>
      <c r="Q3" s="34">
        <f>COUNTIF(I2:I101,"Частичное совпадение")</f>
        <v>7</v>
      </c>
      <c r="R3" s="5"/>
      <c r="S3" s="5"/>
      <c r="T3" s="5"/>
      <c r="U3" s="5"/>
      <c r="V3" s="5"/>
      <c r="W3" s="5"/>
      <c r="X3" s="5"/>
      <c r="Y3" s="5"/>
      <c r="Z3" s="5"/>
    </row>
    <row r="4" spans="1:26" ht="46.8">
      <c r="A4" s="10" t="s">
        <v>2</v>
      </c>
      <c r="B4" s="6" t="s">
        <v>206</v>
      </c>
      <c r="C4" s="7" t="s">
        <v>826</v>
      </c>
      <c r="D4" s="7" t="s">
        <v>322</v>
      </c>
      <c r="E4" s="6" t="s">
        <v>518</v>
      </c>
      <c r="F4" s="7" t="s">
        <v>827</v>
      </c>
      <c r="G4" s="7" t="s">
        <v>226</v>
      </c>
      <c r="H4" s="6" t="s">
        <v>632</v>
      </c>
      <c r="I4" s="6" t="s">
        <v>830</v>
      </c>
      <c r="J4" s="7" t="s">
        <v>828</v>
      </c>
      <c r="M4" s="25" t="s">
        <v>830</v>
      </c>
      <c r="N4" s="26" t="s">
        <v>838</v>
      </c>
      <c r="O4" s="35">
        <f>COUNTIF(C2:C101,"нет совпадений")</f>
        <v>0</v>
      </c>
      <c r="P4" s="33">
        <f>COUNTIF(F2:F101,"нет совпадений")</f>
        <v>0</v>
      </c>
      <c r="Q4" s="34">
        <f>COUNTIF(I2:I101,"Нет совпадений")</f>
        <v>93</v>
      </c>
      <c r="R4" s="5"/>
      <c r="S4" s="5"/>
      <c r="T4" s="5"/>
      <c r="U4" s="5"/>
      <c r="V4" s="5"/>
      <c r="W4" s="5"/>
      <c r="X4" s="5"/>
      <c r="Y4" s="5"/>
      <c r="Z4" s="5"/>
    </row>
    <row r="5" spans="1:26" ht="46.8">
      <c r="A5" s="10" t="s">
        <v>3</v>
      </c>
      <c r="B5" s="6" t="s">
        <v>207</v>
      </c>
      <c r="C5" s="7" t="s">
        <v>826</v>
      </c>
      <c r="D5" s="7" t="s">
        <v>295</v>
      </c>
      <c r="E5" s="6" t="s">
        <v>519</v>
      </c>
      <c r="F5" s="7" t="s">
        <v>827</v>
      </c>
      <c r="G5" s="7" t="s">
        <v>285</v>
      </c>
      <c r="H5" s="6" t="s">
        <v>633</v>
      </c>
      <c r="I5" s="6" t="s">
        <v>830</v>
      </c>
      <c r="J5" s="7" t="s">
        <v>828</v>
      </c>
      <c r="M5" s="28"/>
      <c r="N5" s="27"/>
      <c r="O5" s="27"/>
      <c r="P5" s="27"/>
      <c r="Q5" s="29"/>
      <c r="R5" s="5"/>
      <c r="S5" s="5"/>
      <c r="T5" s="5"/>
      <c r="U5" s="5"/>
      <c r="V5" s="5"/>
      <c r="W5" s="5"/>
      <c r="X5" s="5"/>
      <c r="Y5" s="5"/>
      <c r="Z5" s="5"/>
    </row>
    <row r="6" spans="1:26" ht="31.2">
      <c r="A6" s="10" t="s">
        <v>4</v>
      </c>
      <c r="B6" s="6" t="s">
        <v>209</v>
      </c>
      <c r="C6" s="7" t="s">
        <v>827</v>
      </c>
      <c r="D6" s="7" t="s">
        <v>285</v>
      </c>
      <c r="E6" s="6" t="s">
        <v>520</v>
      </c>
      <c r="F6" s="7" t="s">
        <v>827</v>
      </c>
      <c r="G6" s="7" t="s">
        <v>285</v>
      </c>
      <c r="H6" s="6" t="s">
        <v>634</v>
      </c>
      <c r="I6" s="6" t="s">
        <v>830</v>
      </c>
      <c r="J6" s="7" t="s">
        <v>828</v>
      </c>
      <c r="M6" s="30" t="s">
        <v>842</v>
      </c>
      <c r="N6" s="31">
        <f>COUNTA(B2:B101)</f>
        <v>100</v>
      </c>
      <c r="O6" s="31"/>
      <c r="P6" s="31"/>
      <c r="Q6" s="32"/>
      <c r="R6" s="5"/>
      <c r="S6" s="5"/>
      <c r="T6" s="5"/>
      <c r="U6" s="5"/>
      <c r="V6" s="5"/>
      <c r="W6" s="5"/>
      <c r="X6" s="5"/>
      <c r="Y6" s="5"/>
      <c r="Z6" s="5"/>
    </row>
    <row r="7" spans="1:26" ht="31.2">
      <c r="A7" s="10" t="s">
        <v>5</v>
      </c>
      <c r="B7" s="6" t="s">
        <v>208</v>
      </c>
      <c r="C7" s="7" t="s">
        <v>827</v>
      </c>
      <c r="D7" s="7" t="s">
        <v>285</v>
      </c>
      <c r="E7" s="6" t="s">
        <v>521</v>
      </c>
      <c r="F7" s="7" t="s">
        <v>827</v>
      </c>
      <c r="G7" s="7" t="s">
        <v>285</v>
      </c>
      <c r="H7" s="6" t="s">
        <v>635</v>
      </c>
      <c r="I7" s="6" t="s">
        <v>830</v>
      </c>
      <c r="J7" s="7" t="s">
        <v>828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6.8">
      <c r="A8" s="10" t="s">
        <v>6</v>
      </c>
      <c r="B8" s="6" t="s">
        <v>210</v>
      </c>
      <c r="C8" s="7" t="s">
        <v>827</v>
      </c>
      <c r="D8" s="7"/>
      <c r="E8" s="6" t="s">
        <v>522</v>
      </c>
      <c r="F8" s="7" t="s">
        <v>827</v>
      </c>
      <c r="G8" s="7" t="s">
        <v>226</v>
      </c>
      <c r="H8" s="6" t="s">
        <v>636</v>
      </c>
      <c r="I8" s="6" t="s">
        <v>830</v>
      </c>
      <c r="J8" s="7" t="s">
        <v>828</v>
      </c>
    </row>
    <row r="9" spans="1:26" ht="31.2">
      <c r="A9" s="10" t="s">
        <v>7</v>
      </c>
      <c r="B9" s="6" t="s">
        <v>212</v>
      </c>
      <c r="C9" s="7" t="s">
        <v>827</v>
      </c>
      <c r="D9" s="7" t="s">
        <v>285</v>
      </c>
      <c r="E9" s="6" t="s">
        <v>523</v>
      </c>
      <c r="F9" s="7" t="s">
        <v>827</v>
      </c>
      <c r="G9" s="7" t="s">
        <v>285</v>
      </c>
      <c r="H9" s="6" t="s">
        <v>637</v>
      </c>
      <c r="I9" s="6" t="s">
        <v>830</v>
      </c>
      <c r="J9" s="7" t="s">
        <v>828</v>
      </c>
    </row>
    <row r="10" spans="1:26" ht="31.2">
      <c r="A10" s="10" t="s">
        <v>8</v>
      </c>
      <c r="B10" s="6" t="s">
        <v>211</v>
      </c>
      <c r="C10" s="7" t="s">
        <v>827</v>
      </c>
      <c r="D10" s="7" t="s">
        <v>285</v>
      </c>
      <c r="E10" s="6" t="s">
        <v>524</v>
      </c>
      <c r="F10" s="7" t="s">
        <v>827</v>
      </c>
      <c r="G10" s="7" t="s">
        <v>285</v>
      </c>
      <c r="H10" s="6" t="s">
        <v>638</v>
      </c>
      <c r="I10" s="6" t="s">
        <v>830</v>
      </c>
      <c r="J10" s="7" t="s">
        <v>828</v>
      </c>
    </row>
    <row r="11" spans="1:26" ht="46.8">
      <c r="A11" s="10" t="s">
        <v>9</v>
      </c>
      <c r="B11" s="6" t="s">
        <v>213</v>
      </c>
      <c r="C11" s="7" t="s">
        <v>282</v>
      </c>
      <c r="D11" s="7" t="s">
        <v>295</v>
      </c>
      <c r="E11" s="6" t="s">
        <v>525</v>
      </c>
      <c r="F11" s="7" t="s">
        <v>827</v>
      </c>
      <c r="G11" s="7" t="s">
        <v>285</v>
      </c>
      <c r="H11" s="6" t="s">
        <v>639</v>
      </c>
      <c r="I11" s="6" t="s">
        <v>830</v>
      </c>
      <c r="J11" s="7" t="s">
        <v>828</v>
      </c>
    </row>
    <row r="12" spans="1:26" ht="31.2">
      <c r="A12" s="10" t="s">
        <v>10</v>
      </c>
      <c r="B12" s="6" t="s">
        <v>214</v>
      </c>
      <c r="C12" s="7" t="s">
        <v>827</v>
      </c>
      <c r="D12" s="7" t="s">
        <v>285</v>
      </c>
      <c r="E12" s="6" t="s">
        <v>526</v>
      </c>
      <c r="F12" s="7" t="s">
        <v>827</v>
      </c>
      <c r="G12" s="7" t="s">
        <v>285</v>
      </c>
      <c r="H12" s="6" t="s">
        <v>640</v>
      </c>
      <c r="I12" s="6" t="s">
        <v>826</v>
      </c>
      <c r="J12" s="7" t="s">
        <v>829</v>
      </c>
    </row>
    <row r="13" spans="1:26" ht="46.8">
      <c r="A13" s="10" t="s">
        <v>11</v>
      </c>
      <c r="B13" s="6" t="s">
        <v>215</v>
      </c>
      <c r="C13" s="7" t="s">
        <v>827</v>
      </c>
      <c r="D13" s="7" t="s">
        <v>303</v>
      </c>
      <c r="E13" s="6" t="s">
        <v>527</v>
      </c>
      <c r="F13" s="7" t="s">
        <v>827</v>
      </c>
      <c r="G13" s="7" t="s">
        <v>226</v>
      </c>
      <c r="H13" s="6" t="s">
        <v>641</v>
      </c>
      <c r="I13" s="6" t="s">
        <v>826</v>
      </c>
      <c r="J13" s="7" t="s">
        <v>829</v>
      </c>
    </row>
    <row r="14" spans="1:26" ht="31.2">
      <c r="A14" s="10" t="s">
        <v>12</v>
      </c>
      <c r="B14" s="6" t="s">
        <v>216</v>
      </c>
      <c r="C14" s="7" t="s">
        <v>827</v>
      </c>
      <c r="D14" s="7" t="s">
        <v>285</v>
      </c>
      <c r="E14" s="6" t="s">
        <v>528</v>
      </c>
      <c r="F14" s="7" t="s">
        <v>827</v>
      </c>
      <c r="G14" s="7" t="s">
        <v>285</v>
      </c>
      <c r="H14" s="6" t="s">
        <v>642</v>
      </c>
      <c r="I14" s="6" t="s">
        <v>830</v>
      </c>
      <c r="J14" s="7" t="s">
        <v>828</v>
      </c>
    </row>
    <row r="15" spans="1:26" ht="22.8" customHeight="1">
      <c r="A15" s="10" t="s">
        <v>13</v>
      </c>
      <c r="B15" s="6" t="s">
        <v>217</v>
      </c>
      <c r="C15" s="7" t="s">
        <v>827</v>
      </c>
      <c r="D15" s="7" t="s">
        <v>321</v>
      </c>
      <c r="E15" s="6" t="s">
        <v>529</v>
      </c>
      <c r="F15" s="7" t="s">
        <v>827</v>
      </c>
      <c r="G15" s="7" t="s">
        <v>285</v>
      </c>
      <c r="H15" s="6" t="s">
        <v>643</v>
      </c>
      <c r="I15" s="6" t="s">
        <v>826</v>
      </c>
      <c r="J15" s="7" t="s">
        <v>322</v>
      </c>
    </row>
    <row r="16" spans="1:26" ht="46.8">
      <c r="A16" s="10" t="s">
        <v>14</v>
      </c>
      <c r="B16" s="6" t="s">
        <v>218</v>
      </c>
      <c r="C16" s="7" t="s">
        <v>827</v>
      </c>
      <c r="D16" s="7" t="s">
        <v>303</v>
      </c>
      <c r="E16" s="6" t="s">
        <v>530</v>
      </c>
      <c r="F16" s="7" t="s">
        <v>827</v>
      </c>
      <c r="G16" s="7" t="s">
        <v>226</v>
      </c>
      <c r="H16" s="6" t="s">
        <v>644</v>
      </c>
      <c r="I16" s="6" t="s">
        <v>830</v>
      </c>
      <c r="J16" s="7" t="s">
        <v>828</v>
      </c>
    </row>
    <row r="17" spans="1:10" ht="46.8">
      <c r="A17" s="10" t="s">
        <v>15</v>
      </c>
      <c r="B17" s="6" t="s">
        <v>219</v>
      </c>
      <c r="C17" s="7" t="s">
        <v>827</v>
      </c>
      <c r="D17" s="7" t="s">
        <v>285</v>
      </c>
      <c r="E17" s="6" t="s">
        <v>219</v>
      </c>
      <c r="F17" s="7" t="s">
        <v>827</v>
      </c>
      <c r="G17" s="7" t="s">
        <v>285</v>
      </c>
      <c r="H17" s="6" t="s">
        <v>645</v>
      </c>
      <c r="I17" s="6" t="s">
        <v>826</v>
      </c>
      <c r="J17" s="7" t="s">
        <v>322</v>
      </c>
    </row>
    <row r="18" spans="1:10" ht="31.2" customHeight="1">
      <c r="A18" s="10" t="s">
        <v>16</v>
      </c>
      <c r="B18" s="6" t="s">
        <v>533</v>
      </c>
      <c r="C18" s="7" t="s">
        <v>827</v>
      </c>
      <c r="D18" s="7" t="s">
        <v>534</v>
      </c>
      <c r="E18" s="6" t="s">
        <v>531</v>
      </c>
      <c r="F18" s="7" t="s">
        <v>826</v>
      </c>
      <c r="G18" s="7" t="s">
        <v>532</v>
      </c>
      <c r="H18" s="6" t="s">
        <v>646</v>
      </c>
      <c r="I18" s="6" t="s">
        <v>830</v>
      </c>
      <c r="J18" s="7" t="s">
        <v>828</v>
      </c>
    </row>
    <row r="19" spans="1:10" ht="46.8">
      <c r="A19" s="10" t="s">
        <v>17</v>
      </c>
      <c r="B19" s="6" t="s">
        <v>220</v>
      </c>
      <c r="C19" s="7" t="s">
        <v>282</v>
      </c>
      <c r="D19" s="7" t="s">
        <v>320</v>
      </c>
      <c r="E19" s="6" t="s">
        <v>535</v>
      </c>
      <c r="F19" s="7" t="s">
        <v>827</v>
      </c>
      <c r="G19" s="7" t="s">
        <v>226</v>
      </c>
      <c r="H19" s="6" t="s">
        <v>647</v>
      </c>
      <c r="I19" s="6" t="s">
        <v>830</v>
      </c>
      <c r="J19" s="7" t="s">
        <v>828</v>
      </c>
    </row>
    <row r="20" spans="1:10" ht="31.2">
      <c r="A20" s="10" t="s">
        <v>18</v>
      </c>
      <c r="B20" s="6" t="s">
        <v>221</v>
      </c>
      <c r="C20" s="7" t="s">
        <v>827</v>
      </c>
      <c r="D20" s="7" t="s">
        <v>223</v>
      </c>
      <c r="E20" s="6" t="s">
        <v>221</v>
      </c>
      <c r="F20" s="7" t="s">
        <v>827</v>
      </c>
      <c r="G20" s="7" t="s">
        <v>285</v>
      </c>
      <c r="H20" s="6" t="s">
        <v>648</v>
      </c>
      <c r="I20" s="6" t="s">
        <v>830</v>
      </c>
      <c r="J20" s="7" t="s">
        <v>828</v>
      </c>
    </row>
    <row r="21" spans="1:10" ht="31.2">
      <c r="A21" s="10" t="s">
        <v>19</v>
      </c>
      <c r="B21" s="6" t="s">
        <v>224</v>
      </c>
      <c r="C21" s="7" t="s">
        <v>827</v>
      </c>
      <c r="D21" s="7" t="s">
        <v>223</v>
      </c>
      <c r="E21" s="6" t="s">
        <v>536</v>
      </c>
      <c r="F21" s="7" t="s">
        <v>827</v>
      </c>
      <c r="G21" s="7" t="s">
        <v>285</v>
      </c>
      <c r="H21" s="6" t="s">
        <v>649</v>
      </c>
      <c r="I21" s="6" t="s">
        <v>830</v>
      </c>
      <c r="J21" s="7" t="s">
        <v>828</v>
      </c>
    </row>
    <row r="22" spans="1:10" ht="36.6" customHeight="1">
      <c r="A22" s="10" t="s">
        <v>20</v>
      </c>
      <c r="B22" s="6" t="s">
        <v>225</v>
      </c>
      <c r="C22" s="7" t="s">
        <v>226</v>
      </c>
      <c r="D22" s="7"/>
      <c r="E22" s="6" t="s">
        <v>537</v>
      </c>
      <c r="F22" s="7" t="s">
        <v>827</v>
      </c>
      <c r="G22" s="7" t="s">
        <v>538</v>
      </c>
      <c r="H22" s="6" t="s">
        <v>650</v>
      </c>
      <c r="I22" s="6" t="s">
        <v>830</v>
      </c>
      <c r="J22" s="7" t="s">
        <v>828</v>
      </c>
    </row>
    <row r="23" spans="1:10" ht="34.200000000000003" customHeight="1">
      <c r="A23" s="10" t="s">
        <v>21</v>
      </c>
      <c r="B23" s="6" t="s">
        <v>227</v>
      </c>
      <c r="C23" s="7" t="s">
        <v>282</v>
      </c>
      <c r="D23" s="7" t="s">
        <v>295</v>
      </c>
      <c r="E23" s="6" t="s">
        <v>539</v>
      </c>
      <c r="F23" s="7" t="s">
        <v>826</v>
      </c>
      <c r="G23" s="7" t="s">
        <v>540</v>
      </c>
      <c r="H23" s="6" t="s">
        <v>651</v>
      </c>
      <c r="I23" s="6" t="s">
        <v>830</v>
      </c>
      <c r="J23" s="7" t="s">
        <v>828</v>
      </c>
    </row>
    <row r="24" spans="1:10" ht="31.2">
      <c r="A24" s="10" t="s">
        <v>22</v>
      </c>
      <c r="B24" s="6" t="s">
        <v>228</v>
      </c>
      <c r="C24" s="7" t="s">
        <v>827</v>
      </c>
      <c r="D24" s="7" t="s">
        <v>223</v>
      </c>
      <c r="E24" s="6" t="s">
        <v>541</v>
      </c>
      <c r="F24" s="7" t="s">
        <v>827</v>
      </c>
      <c r="G24" s="7" t="s">
        <v>542</v>
      </c>
      <c r="H24" s="6" t="s">
        <v>652</v>
      </c>
      <c r="I24" s="6" t="s">
        <v>830</v>
      </c>
      <c r="J24" s="7" t="s">
        <v>828</v>
      </c>
    </row>
    <row r="25" spans="1:10" ht="31.2">
      <c r="A25" s="10" t="s">
        <v>23</v>
      </c>
      <c r="B25" s="6" t="s">
        <v>229</v>
      </c>
      <c r="C25" s="7" t="s">
        <v>827</v>
      </c>
      <c r="D25" s="7" t="s">
        <v>223</v>
      </c>
      <c r="E25" s="6" t="s">
        <v>543</v>
      </c>
      <c r="F25" s="7" t="s">
        <v>827</v>
      </c>
      <c r="G25" s="7" t="s">
        <v>285</v>
      </c>
      <c r="H25" s="6" t="s">
        <v>653</v>
      </c>
      <c r="I25" s="6" t="s">
        <v>830</v>
      </c>
      <c r="J25" s="7" t="s">
        <v>828</v>
      </c>
    </row>
    <row r="26" spans="1:10" ht="31.2">
      <c r="A26" s="10" t="s">
        <v>24</v>
      </c>
      <c r="B26" s="6" t="s">
        <v>230</v>
      </c>
      <c r="C26" s="7" t="s">
        <v>827</v>
      </c>
      <c r="D26" s="7" t="s">
        <v>223</v>
      </c>
      <c r="E26" s="6" t="s">
        <v>544</v>
      </c>
      <c r="F26" s="7" t="s">
        <v>827</v>
      </c>
      <c r="G26" s="7" t="s">
        <v>285</v>
      </c>
      <c r="H26" s="6" t="s">
        <v>654</v>
      </c>
      <c r="I26" s="6" t="s">
        <v>830</v>
      </c>
      <c r="J26" s="7" t="s">
        <v>828</v>
      </c>
    </row>
    <row r="27" spans="1:10" ht="46.8">
      <c r="A27" s="10" t="s">
        <v>25</v>
      </c>
      <c r="B27" s="6" t="s">
        <v>231</v>
      </c>
      <c r="C27" s="7" t="s">
        <v>827</v>
      </c>
      <c r="D27" s="7"/>
      <c r="E27" s="6" t="s">
        <v>545</v>
      </c>
      <c r="F27" s="7" t="s">
        <v>827</v>
      </c>
      <c r="G27" s="7" t="s">
        <v>226</v>
      </c>
      <c r="H27" s="6" t="s">
        <v>655</v>
      </c>
      <c r="I27" s="6" t="s">
        <v>830</v>
      </c>
      <c r="J27" s="7" t="s">
        <v>828</v>
      </c>
    </row>
    <row r="28" spans="1:10" ht="46.8">
      <c r="A28" s="10" t="s">
        <v>26</v>
      </c>
      <c r="B28" s="6" t="s">
        <v>232</v>
      </c>
      <c r="C28" s="7" t="s">
        <v>827</v>
      </c>
      <c r="D28" s="7"/>
      <c r="E28" s="6" t="s">
        <v>546</v>
      </c>
      <c r="F28" s="7" t="s">
        <v>827</v>
      </c>
      <c r="G28" s="7" t="s">
        <v>226</v>
      </c>
      <c r="H28" s="6" t="s">
        <v>656</v>
      </c>
      <c r="I28" s="6" t="s">
        <v>830</v>
      </c>
      <c r="J28" s="7" t="s">
        <v>828</v>
      </c>
    </row>
    <row r="29" spans="1:10" ht="33.6" customHeight="1">
      <c r="A29" s="10" t="s">
        <v>27</v>
      </c>
      <c r="B29" s="6" t="s">
        <v>233</v>
      </c>
      <c r="C29" s="7" t="s">
        <v>827</v>
      </c>
      <c r="D29" s="7"/>
      <c r="E29" s="6" t="s">
        <v>547</v>
      </c>
      <c r="F29" s="7" t="s">
        <v>827</v>
      </c>
      <c r="G29" s="7" t="s">
        <v>548</v>
      </c>
      <c r="H29" s="6" t="s">
        <v>657</v>
      </c>
      <c r="I29" s="6" t="s">
        <v>830</v>
      </c>
      <c r="J29" s="7" t="s">
        <v>828</v>
      </c>
    </row>
    <row r="30" spans="1:10" ht="31.2">
      <c r="A30" s="10" t="s">
        <v>28</v>
      </c>
      <c r="B30" s="6" t="s">
        <v>234</v>
      </c>
      <c r="C30" s="7" t="s">
        <v>827</v>
      </c>
      <c r="D30" s="7" t="s">
        <v>223</v>
      </c>
      <c r="E30" s="6" t="s">
        <v>549</v>
      </c>
      <c r="F30" s="7" t="s">
        <v>827</v>
      </c>
      <c r="G30" s="7" t="s">
        <v>285</v>
      </c>
      <c r="H30" s="6" t="s">
        <v>658</v>
      </c>
      <c r="I30" s="6" t="s">
        <v>830</v>
      </c>
      <c r="J30" s="7" t="s">
        <v>831</v>
      </c>
    </row>
    <row r="31" spans="1:10" ht="46.8">
      <c r="A31" s="10" t="s">
        <v>29</v>
      </c>
      <c r="B31" s="6" t="s">
        <v>235</v>
      </c>
      <c r="C31" s="7" t="s">
        <v>827</v>
      </c>
      <c r="D31" s="7"/>
      <c r="E31" s="6" t="s">
        <v>550</v>
      </c>
      <c r="F31" s="7" t="s">
        <v>827</v>
      </c>
      <c r="G31" s="7" t="s">
        <v>226</v>
      </c>
      <c r="H31" s="6" t="s">
        <v>659</v>
      </c>
      <c r="I31" s="6" t="s">
        <v>830</v>
      </c>
      <c r="J31" s="7" t="s">
        <v>828</v>
      </c>
    </row>
    <row r="32" spans="1:10" ht="31.2">
      <c r="A32" s="10" t="s">
        <v>30</v>
      </c>
      <c r="B32" s="6" t="s">
        <v>236</v>
      </c>
      <c r="C32" s="7" t="s">
        <v>827</v>
      </c>
      <c r="D32" s="7" t="s">
        <v>223</v>
      </c>
      <c r="E32" s="6" t="s">
        <v>551</v>
      </c>
      <c r="F32" s="7" t="s">
        <v>827</v>
      </c>
      <c r="G32" s="7" t="s">
        <v>285</v>
      </c>
      <c r="H32" s="6" t="s">
        <v>660</v>
      </c>
      <c r="I32" s="6" t="s">
        <v>830</v>
      </c>
      <c r="J32" s="7" t="s">
        <v>828</v>
      </c>
    </row>
    <row r="33" spans="1:10" ht="46.8">
      <c r="A33" s="10" t="s">
        <v>31</v>
      </c>
      <c r="B33" s="6" t="s">
        <v>237</v>
      </c>
      <c r="C33" s="7" t="s">
        <v>827</v>
      </c>
      <c r="D33" s="7"/>
      <c r="E33" s="6" t="s">
        <v>237</v>
      </c>
      <c r="F33" s="7" t="s">
        <v>827</v>
      </c>
      <c r="G33" s="7" t="s">
        <v>226</v>
      </c>
      <c r="H33" s="6" t="s">
        <v>661</v>
      </c>
      <c r="I33" s="6" t="s">
        <v>830</v>
      </c>
      <c r="J33" s="7" t="s">
        <v>828</v>
      </c>
    </row>
    <row r="34" spans="1:10" ht="31.2">
      <c r="A34" s="10" t="s">
        <v>32</v>
      </c>
      <c r="B34" s="6" t="s">
        <v>238</v>
      </c>
      <c r="C34" s="7" t="s">
        <v>827</v>
      </c>
      <c r="D34" s="7" t="s">
        <v>223</v>
      </c>
      <c r="E34" s="6" t="s">
        <v>552</v>
      </c>
      <c r="F34" s="7" t="s">
        <v>827</v>
      </c>
      <c r="G34" s="7" t="s">
        <v>285</v>
      </c>
      <c r="H34" s="6" t="s">
        <v>662</v>
      </c>
      <c r="I34" s="6" t="s">
        <v>830</v>
      </c>
      <c r="J34" s="7" t="s">
        <v>828</v>
      </c>
    </row>
    <row r="35" spans="1:10" ht="46.8">
      <c r="A35" s="10" t="s">
        <v>33</v>
      </c>
      <c r="B35" s="6" t="s">
        <v>239</v>
      </c>
      <c r="C35" s="7" t="s">
        <v>827</v>
      </c>
      <c r="D35" s="7"/>
      <c r="E35" s="6" t="s">
        <v>239</v>
      </c>
      <c r="F35" s="7" t="s">
        <v>827</v>
      </c>
      <c r="G35" s="7" t="s">
        <v>226</v>
      </c>
      <c r="H35" s="6" t="s">
        <v>663</v>
      </c>
      <c r="I35" s="6" t="s">
        <v>830</v>
      </c>
      <c r="J35" s="7" t="s">
        <v>828</v>
      </c>
    </row>
    <row r="36" spans="1:10" ht="31.2">
      <c r="A36" s="10" t="s">
        <v>34</v>
      </c>
      <c r="B36" s="6" t="s">
        <v>240</v>
      </c>
      <c r="C36" s="7" t="s">
        <v>827</v>
      </c>
      <c r="D36" s="7" t="s">
        <v>223</v>
      </c>
      <c r="E36" s="6" t="s">
        <v>553</v>
      </c>
      <c r="F36" s="7" t="s">
        <v>827</v>
      </c>
      <c r="G36" s="7" t="s">
        <v>285</v>
      </c>
      <c r="H36" s="6" t="s">
        <v>664</v>
      </c>
      <c r="I36" s="6" t="s">
        <v>830</v>
      </c>
      <c r="J36" s="7" t="s">
        <v>828</v>
      </c>
    </row>
    <row r="37" spans="1:10" ht="37.200000000000003" customHeight="1">
      <c r="A37" s="10" t="s">
        <v>35</v>
      </c>
      <c r="B37" s="6" t="s">
        <v>241</v>
      </c>
      <c r="C37" s="7" t="s">
        <v>282</v>
      </c>
      <c r="D37" s="7" t="s">
        <v>242</v>
      </c>
      <c r="E37" s="6" t="s">
        <v>554</v>
      </c>
      <c r="F37" s="7" t="s">
        <v>826</v>
      </c>
      <c r="G37" s="7" t="s">
        <v>555</v>
      </c>
      <c r="H37" s="6" t="s">
        <v>665</v>
      </c>
      <c r="I37" s="6" t="s">
        <v>830</v>
      </c>
      <c r="J37" s="7" t="s">
        <v>828</v>
      </c>
    </row>
    <row r="38" spans="1:10" ht="46.8">
      <c r="A38" s="10" t="s">
        <v>36</v>
      </c>
      <c r="B38" s="6" t="s">
        <v>243</v>
      </c>
      <c r="C38" s="7" t="s">
        <v>827</v>
      </c>
      <c r="D38" s="7"/>
      <c r="E38" s="6" t="s">
        <v>556</v>
      </c>
      <c r="F38" s="7" t="s">
        <v>827</v>
      </c>
      <c r="G38" s="7" t="s">
        <v>226</v>
      </c>
      <c r="H38" s="6" t="s">
        <v>666</v>
      </c>
      <c r="I38" s="6" t="s">
        <v>830</v>
      </c>
      <c r="J38" s="7" t="s">
        <v>828</v>
      </c>
    </row>
    <row r="39" spans="1:10" ht="46.8">
      <c r="A39" s="10" t="s">
        <v>37</v>
      </c>
      <c r="B39" s="6" t="s">
        <v>244</v>
      </c>
      <c r="C39" s="7" t="s">
        <v>827</v>
      </c>
      <c r="D39" s="7"/>
      <c r="E39" s="6" t="s">
        <v>557</v>
      </c>
      <c r="F39" s="7" t="s">
        <v>827</v>
      </c>
      <c r="G39" s="7" t="s">
        <v>226</v>
      </c>
      <c r="H39" s="6" t="s">
        <v>667</v>
      </c>
      <c r="I39" s="6" t="s">
        <v>830</v>
      </c>
      <c r="J39" s="7" t="s">
        <v>828</v>
      </c>
    </row>
    <row r="40" spans="1:10" ht="31.2">
      <c r="A40" s="10" t="s">
        <v>38</v>
      </c>
      <c r="B40" s="6" t="s">
        <v>245</v>
      </c>
      <c r="C40" s="7" t="s">
        <v>827</v>
      </c>
      <c r="D40" s="7" t="s">
        <v>223</v>
      </c>
      <c r="E40" s="6" t="s">
        <v>558</v>
      </c>
      <c r="F40" s="7" t="s">
        <v>827</v>
      </c>
      <c r="G40" s="7" t="s">
        <v>285</v>
      </c>
      <c r="H40" s="6" t="s">
        <v>668</v>
      </c>
      <c r="I40" s="6" t="s">
        <v>830</v>
      </c>
      <c r="J40" s="7" t="s">
        <v>828</v>
      </c>
    </row>
    <row r="41" spans="1:10" ht="40.799999999999997" customHeight="1">
      <c r="A41" s="10" t="s">
        <v>39</v>
      </c>
      <c r="B41" s="6" t="s">
        <v>246</v>
      </c>
      <c r="C41" s="7" t="s">
        <v>827</v>
      </c>
      <c r="D41" s="7" t="s">
        <v>223</v>
      </c>
      <c r="E41" s="6" t="s">
        <v>559</v>
      </c>
      <c r="F41" s="7" t="s">
        <v>826</v>
      </c>
      <c r="G41" s="7" t="s">
        <v>555</v>
      </c>
      <c r="H41" s="6" t="s">
        <v>669</v>
      </c>
      <c r="I41" s="6" t="s">
        <v>830</v>
      </c>
      <c r="J41" s="7" t="s">
        <v>828</v>
      </c>
    </row>
    <row r="42" spans="1:10" ht="27" customHeight="1">
      <c r="A42" s="10" t="s">
        <v>40</v>
      </c>
      <c r="B42" s="6" t="s">
        <v>247</v>
      </c>
      <c r="C42" s="7" t="s">
        <v>827</v>
      </c>
      <c r="D42" s="7" t="s">
        <v>248</v>
      </c>
      <c r="E42" s="6" t="s">
        <v>560</v>
      </c>
      <c r="F42" s="7" t="s">
        <v>827</v>
      </c>
      <c r="G42" s="7" t="s">
        <v>226</v>
      </c>
      <c r="H42" s="6" t="s">
        <v>670</v>
      </c>
      <c r="I42" s="6" t="s">
        <v>830</v>
      </c>
      <c r="J42" s="7" t="s">
        <v>832</v>
      </c>
    </row>
    <row r="43" spans="1:10" ht="46.8">
      <c r="A43" s="10" t="s">
        <v>41</v>
      </c>
      <c r="B43" s="6" t="s">
        <v>249</v>
      </c>
      <c r="C43" s="7" t="s">
        <v>827</v>
      </c>
      <c r="D43" s="7"/>
      <c r="E43" s="6" t="s">
        <v>561</v>
      </c>
      <c r="F43" s="7" t="s">
        <v>827</v>
      </c>
      <c r="G43" s="7" t="s">
        <v>226</v>
      </c>
      <c r="H43" s="6" t="s">
        <v>671</v>
      </c>
      <c r="I43" s="6" t="s">
        <v>830</v>
      </c>
      <c r="J43" s="9" t="s">
        <v>828</v>
      </c>
    </row>
    <row r="44" spans="1:10" ht="32.4" customHeight="1">
      <c r="A44" s="10" t="s">
        <v>42</v>
      </c>
      <c r="B44" s="6" t="s">
        <v>250</v>
      </c>
      <c r="C44" s="7" t="s">
        <v>827</v>
      </c>
      <c r="D44" s="7" t="s">
        <v>251</v>
      </c>
      <c r="E44" s="6" t="s">
        <v>562</v>
      </c>
      <c r="F44" s="7" t="s">
        <v>827</v>
      </c>
      <c r="G44" s="7" t="s">
        <v>285</v>
      </c>
      <c r="H44" s="6" t="s">
        <v>672</v>
      </c>
      <c r="I44" s="6" t="s">
        <v>830</v>
      </c>
      <c r="J44" s="7" t="s">
        <v>828</v>
      </c>
    </row>
    <row r="45" spans="1:10" ht="31.2">
      <c r="A45" s="10" t="s">
        <v>43</v>
      </c>
      <c r="B45" s="6" t="s">
        <v>252</v>
      </c>
      <c r="C45" s="7" t="s">
        <v>827</v>
      </c>
      <c r="D45" s="7" t="s">
        <v>223</v>
      </c>
      <c r="E45" s="6" t="s">
        <v>563</v>
      </c>
      <c r="F45" s="7" t="s">
        <v>827</v>
      </c>
      <c r="G45" s="7" t="s">
        <v>285</v>
      </c>
      <c r="H45" s="6" t="s">
        <v>673</v>
      </c>
      <c r="I45" s="6" t="s">
        <v>830</v>
      </c>
      <c r="J45" s="7" t="s">
        <v>833</v>
      </c>
    </row>
    <row r="46" spans="1:10" ht="46.8">
      <c r="A46" s="10" t="s">
        <v>44</v>
      </c>
      <c r="B46" s="6" t="s">
        <v>253</v>
      </c>
      <c r="C46" s="7" t="s">
        <v>827</v>
      </c>
      <c r="D46" s="7"/>
      <c r="E46" s="6" t="s">
        <v>564</v>
      </c>
      <c r="F46" s="7" t="s">
        <v>827</v>
      </c>
      <c r="G46" s="7" t="s">
        <v>226</v>
      </c>
      <c r="H46" s="6" t="s">
        <v>674</v>
      </c>
      <c r="I46" s="6" t="s">
        <v>830</v>
      </c>
      <c r="J46" s="7" t="s">
        <v>828</v>
      </c>
    </row>
    <row r="47" spans="1:10" ht="33" customHeight="1">
      <c r="A47" s="10" t="s">
        <v>45</v>
      </c>
      <c r="B47" s="6" t="s">
        <v>254</v>
      </c>
      <c r="C47" s="7" t="s">
        <v>827</v>
      </c>
      <c r="D47" s="7" t="s">
        <v>223</v>
      </c>
      <c r="E47" s="6" t="s">
        <v>565</v>
      </c>
      <c r="F47" s="7" t="s">
        <v>827</v>
      </c>
      <c r="G47" s="7" t="s">
        <v>566</v>
      </c>
      <c r="H47" s="6" t="s">
        <v>675</v>
      </c>
      <c r="I47" s="6" t="s">
        <v>830</v>
      </c>
      <c r="J47" s="7" t="s">
        <v>828</v>
      </c>
    </row>
    <row r="48" spans="1:10" ht="46.8">
      <c r="A48" s="10" t="s">
        <v>46</v>
      </c>
      <c r="B48" s="6" t="s">
        <v>255</v>
      </c>
      <c r="C48" s="7" t="s">
        <v>827</v>
      </c>
      <c r="D48" s="7"/>
      <c r="E48" s="6" t="s">
        <v>567</v>
      </c>
      <c r="F48" s="7" t="s">
        <v>827</v>
      </c>
      <c r="G48" s="7" t="s">
        <v>226</v>
      </c>
      <c r="H48" s="6" t="s">
        <v>676</v>
      </c>
      <c r="I48" s="6" t="s">
        <v>830</v>
      </c>
      <c r="J48" s="7" t="s">
        <v>828</v>
      </c>
    </row>
    <row r="49" spans="1:10" ht="31.2">
      <c r="A49" s="10" t="s">
        <v>47</v>
      </c>
      <c r="B49" s="6" t="s">
        <v>256</v>
      </c>
      <c r="C49" s="7" t="s">
        <v>827</v>
      </c>
      <c r="D49" s="7" t="s">
        <v>223</v>
      </c>
      <c r="E49" s="6" t="s">
        <v>568</v>
      </c>
      <c r="F49" s="7" t="s">
        <v>827</v>
      </c>
      <c r="G49" s="7" t="s">
        <v>285</v>
      </c>
      <c r="H49" s="6" t="s">
        <v>677</v>
      </c>
      <c r="I49" s="6" t="s">
        <v>830</v>
      </c>
      <c r="J49" s="7" t="s">
        <v>828</v>
      </c>
    </row>
    <row r="50" spans="1:10" ht="31.2">
      <c r="A50" s="10" t="s">
        <v>48</v>
      </c>
      <c r="B50" s="6" t="s">
        <v>257</v>
      </c>
      <c r="C50" s="7" t="s">
        <v>827</v>
      </c>
      <c r="D50" s="7" t="s">
        <v>223</v>
      </c>
      <c r="E50" s="6" t="s">
        <v>569</v>
      </c>
      <c r="F50" s="7" t="s">
        <v>827</v>
      </c>
      <c r="G50" s="7" t="s">
        <v>285</v>
      </c>
      <c r="H50" s="6" t="s">
        <v>656</v>
      </c>
      <c r="I50" s="6" t="s">
        <v>830</v>
      </c>
      <c r="J50" s="7" t="s">
        <v>828</v>
      </c>
    </row>
    <row r="51" spans="1:10" ht="31.2">
      <c r="A51" s="10" t="s">
        <v>49</v>
      </c>
      <c r="B51" s="6" t="s">
        <v>258</v>
      </c>
      <c r="C51" s="7" t="s">
        <v>827</v>
      </c>
      <c r="D51" s="7" t="s">
        <v>223</v>
      </c>
      <c r="E51" s="6" t="s">
        <v>570</v>
      </c>
      <c r="F51" s="7" t="s">
        <v>827</v>
      </c>
      <c r="G51" s="7" t="s">
        <v>285</v>
      </c>
      <c r="H51" s="6" t="s">
        <v>678</v>
      </c>
      <c r="I51" s="6" t="s">
        <v>830</v>
      </c>
      <c r="J51" s="7" t="s">
        <v>828</v>
      </c>
    </row>
    <row r="52" spans="1:10" ht="31.2">
      <c r="A52" s="10" t="s">
        <v>50</v>
      </c>
      <c r="B52" s="6" t="s">
        <v>259</v>
      </c>
      <c r="C52" s="7" t="s">
        <v>827</v>
      </c>
      <c r="D52" s="7" t="s">
        <v>223</v>
      </c>
      <c r="E52" s="6" t="s">
        <v>571</v>
      </c>
      <c r="F52" s="7" t="s">
        <v>827</v>
      </c>
      <c r="G52" s="7" t="s">
        <v>285</v>
      </c>
      <c r="H52" s="6" t="s">
        <v>679</v>
      </c>
      <c r="I52" s="6" t="s">
        <v>830</v>
      </c>
      <c r="J52" s="7" t="s">
        <v>828</v>
      </c>
    </row>
    <row r="53" spans="1:10" ht="46.8">
      <c r="A53" s="10" t="s">
        <v>51</v>
      </c>
      <c r="B53" s="6" t="s">
        <v>260</v>
      </c>
      <c r="C53" s="7" t="s">
        <v>827</v>
      </c>
      <c r="D53" s="7"/>
      <c r="E53" s="6" t="s">
        <v>572</v>
      </c>
      <c r="F53" s="7" t="s">
        <v>827</v>
      </c>
      <c r="G53" s="7" t="s">
        <v>226</v>
      </c>
      <c r="H53" s="6" t="s">
        <v>680</v>
      </c>
      <c r="I53" s="6" t="s">
        <v>830</v>
      </c>
      <c r="J53" s="7" t="s">
        <v>828</v>
      </c>
    </row>
    <row r="54" spans="1:10" ht="46.8">
      <c r="A54" s="10" t="s">
        <v>52</v>
      </c>
      <c r="B54" s="6" t="s">
        <v>261</v>
      </c>
      <c r="C54" s="7" t="s">
        <v>827</v>
      </c>
      <c r="D54" s="7"/>
      <c r="E54" s="6" t="s">
        <v>573</v>
      </c>
      <c r="F54" s="7" t="s">
        <v>827</v>
      </c>
      <c r="G54" s="7" t="s">
        <v>226</v>
      </c>
      <c r="H54" s="6" t="s">
        <v>681</v>
      </c>
      <c r="I54" s="6" t="s">
        <v>830</v>
      </c>
      <c r="J54" s="7" t="s">
        <v>828</v>
      </c>
    </row>
    <row r="55" spans="1:10" ht="46.8">
      <c r="A55" s="10" t="s">
        <v>53</v>
      </c>
      <c r="B55" s="6" t="s">
        <v>262</v>
      </c>
      <c r="C55" s="7" t="s">
        <v>827</v>
      </c>
      <c r="D55" s="7" t="s">
        <v>223</v>
      </c>
      <c r="E55" s="6" t="s">
        <v>574</v>
      </c>
      <c r="F55" s="7" t="s">
        <v>827</v>
      </c>
      <c r="G55" s="7" t="s">
        <v>285</v>
      </c>
      <c r="H55" s="6" t="s">
        <v>682</v>
      </c>
      <c r="I55" s="7" t="s">
        <v>826</v>
      </c>
      <c r="J55" s="7" t="s">
        <v>322</v>
      </c>
    </row>
    <row r="56" spans="1:10" ht="78">
      <c r="A56" s="10" t="s">
        <v>54</v>
      </c>
      <c r="B56" s="6" t="s">
        <v>263</v>
      </c>
      <c r="C56" s="7" t="s">
        <v>827</v>
      </c>
      <c r="D56" s="7"/>
      <c r="E56" s="6" t="s">
        <v>575</v>
      </c>
      <c r="F56" s="7" t="s">
        <v>826</v>
      </c>
      <c r="G56" s="7" t="s">
        <v>576</v>
      </c>
      <c r="H56" s="6" t="s">
        <v>683</v>
      </c>
      <c r="I56" s="6" t="s">
        <v>830</v>
      </c>
      <c r="J56" s="7" t="s">
        <v>828</v>
      </c>
    </row>
    <row r="57" spans="1:10" ht="46.8">
      <c r="A57" s="10" t="s">
        <v>55</v>
      </c>
      <c r="B57" s="6" t="s">
        <v>264</v>
      </c>
      <c r="C57" s="7" t="s">
        <v>827</v>
      </c>
      <c r="D57" s="7"/>
      <c r="E57" s="6" t="s">
        <v>577</v>
      </c>
      <c r="F57" s="7" t="s">
        <v>827</v>
      </c>
      <c r="G57" s="7" t="s">
        <v>226</v>
      </c>
      <c r="H57" s="6" t="s">
        <v>684</v>
      </c>
      <c r="I57" s="6" t="s">
        <v>830</v>
      </c>
      <c r="J57" s="7" t="s">
        <v>828</v>
      </c>
    </row>
    <row r="58" spans="1:10" ht="78">
      <c r="A58" s="10" t="s">
        <v>56</v>
      </c>
      <c r="B58" s="6" t="s">
        <v>265</v>
      </c>
      <c r="C58" s="7" t="s">
        <v>827</v>
      </c>
      <c r="D58" s="7" t="s">
        <v>266</v>
      </c>
      <c r="E58" s="6" t="s">
        <v>578</v>
      </c>
      <c r="F58" s="7" t="s">
        <v>827</v>
      </c>
      <c r="G58" s="7" t="s">
        <v>226</v>
      </c>
      <c r="H58" s="6" t="s">
        <v>685</v>
      </c>
      <c r="I58" s="6" t="s">
        <v>830</v>
      </c>
      <c r="J58" s="7" t="s">
        <v>828</v>
      </c>
    </row>
    <row r="59" spans="1:10" ht="46.8">
      <c r="A59" s="10" t="s">
        <v>57</v>
      </c>
      <c r="B59" s="6" t="s">
        <v>267</v>
      </c>
      <c r="C59" s="7" t="s">
        <v>282</v>
      </c>
      <c r="D59" s="7" t="s">
        <v>268</v>
      </c>
      <c r="E59" s="6" t="s">
        <v>579</v>
      </c>
      <c r="F59" s="7" t="s">
        <v>827</v>
      </c>
      <c r="G59" s="7" t="s">
        <v>285</v>
      </c>
      <c r="H59" s="6" t="s">
        <v>686</v>
      </c>
      <c r="I59" s="6" t="s">
        <v>830</v>
      </c>
      <c r="J59" s="7" t="s">
        <v>828</v>
      </c>
    </row>
    <row r="60" spans="1:10" ht="46.8">
      <c r="A60" s="10" t="s">
        <v>58</v>
      </c>
      <c r="B60" s="6" t="s">
        <v>269</v>
      </c>
      <c r="C60" s="7" t="s">
        <v>827</v>
      </c>
      <c r="D60" s="7" t="s">
        <v>223</v>
      </c>
      <c r="E60" s="6" t="s">
        <v>580</v>
      </c>
      <c r="F60" s="7" t="s">
        <v>827</v>
      </c>
      <c r="G60" s="7" t="s">
        <v>226</v>
      </c>
      <c r="H60" s="6" t="s">
        <v>687</v>
      </c>
      <c r="I60" s="6" t="s">
        <v>830</v>
      </c>
      <c r="J60" s="7" t="s">
        <v>828</v>
      </c>
    </row>
    <row r="61" spans="1:10" ht="31.2">
      <c r="A61" s="10" t="s">
        <v>59</v>
      </c>
      <c r="B61" s="6" t="s">
        <v>270</v>
      </c>
      <c r="C61" s="7" t="s">
        <v>827</v>
      </c>
      <c r="D61" s="7" t="s">
        <v>223</v>
      </c>
      <c r="E61" s="6" t="s">
        <v>581</v>
      </c>
      <c r="F61" s="7" t="s">
        <v>827</v>
      </c>
      <c r="G61" s="7" t="s">
        <v>285</v>
      </c>
      <c r="H61" s="6" t="s">
        <v>688</v>
      </c>
      <c r="I61" s="6" t="s">
        <v>830</v>
      </c>
      <c r="J61" s="7" t="s">
        <v>828</v>
      </c>
    </row>
    <row r="62" spans="1:10" ht="46.8">
      <c r="A62" s="10" t="s">
        <v>60</v>
      </c>
      <c r="B62" s="6" t="s">
        <v>271</v>
      </c>
      <c r="C62" s="7" t="s">
        <v>827</v>
      </c>
      <c r="D62" s="7"/>
      <c r="E62" s="6" t="s">
        <v>582</v>
      </c>
      <c r="F62" s="7" t="s">
        <v>827</v>
      </c>
      <c r="G62" s="7" t="s">
        <v>226</v>
      </c>
      <c r="H62" s="6" t="s">
        <v>689</v>
      </c>
      <c r="I62" s="6" t="s">
        <v>830</v>
      </c>
      <c r="J62" s="7" t="s">
        <v>828</v>
      </c>
    </row>
    <row r="63" spans="1:10" ht="31.2">
      <c r="A63" s="10" t="s">
        <v>61</v>
      </c>
      <c r="B63" s="6" t="s">
        <v>272</v>
      </c>
      <c r="C63" s="7" t="s">
        <v>827</v>
      </c>
      <c r="D63" s="7" t="s">
        <v>273</v>
      </c>
      <c r="E63" s="6" t="s">
        <v>272</v>
      </c>
      <c r="F63" s="7" t="s">
        <v>827</v>
      </c>
      <c r="G63" s="7" t="s">
        <v>285</v>
      </c>
      <c r="H63" s="6" t="s">
        <v>690</v>
      </c>
      <c r="I63" s="6" t="s">
        <v>830</v>
      </c>
      <c r="J63" s="7" t="s">
        <v>828</v>
      </c>
    </row>
    <row r="64" spans="1:10" ht="31.2">
      <c r="A64" s="10" t="s">
        <v>62</v>
      </c>
      <c r="B64" s="6" t="s">
        <v>274</v>
      </c>
      <c r="C64" s="7" t="s">
        <v>827</v>
      </c>
      <c r="D64" s="7" t="s">
        <v>273</v>
      </c>
      <c r="E64" s="6" t="s">
        <v>583</v>
      </c>
      <c r="F64" s="7" t="s">
        <v>827</v>
      </c>
      <c r="G64" s="7" t="s">
        <v>285</v>
      </c>
      <c r="H64" s="6" t="s">
        <v>691</v>
      </c>
      <c r="I64" s="6" t="s">
        <v>830</v>
      </c>
      <c r="J64" s="7" t="s">
        <v>828</v>
      </c>
    </row>
    <row r="65" spans="1:10" ht="78">
      <c r="A65" s="10" t="s">
        <v>63</v>
      </c>
      <c r="B65" s="6" t="s">
        <v>275</v>
      </c>
      <c r="C65" s="7" t="s">
        <v>827</v>
      </c>
      <c r="D65" s="7" t="s">
        <v>276</v>
      </c>
      <c r="E65" s="6" t="s">
        <v>584</v>
      </c>
      <c r="F65" s="7" t="s">
        <v>827</v>
      </c>
      <c r="G65" s="7" t="s">
        <v>585</v>
      </c>
      <c r="H65" s="6" t="s">
        <v>692</v>
      </c>
      <c r="I65" s="6" t="s">
        <v>830</v>
      </c>
      <c r="J65" s="7" t="s">
        <v>828</v>
      </c>
    </row>
    <row r="66" spans="1:10" ht="31.2">
      <c r="A66" s="10" t="s">
        <v>64</v>
      </c>
      <c r="B66" s="6" t="s">
        <v>277</v>
      </c>
      <c r="C66" s="7" t="s">
        <v>827</v>
      </c>
      <c r="D66" s="7" t="s">
        <v>223</v>
      </c>
      <c r="E66" s="6" t="s">
        <v>586</v>
      </c>
      <c r="F66" s="7" t="s">
        <v>827</v>
      </c>
      <c r="G66" s="7" t="s">
        <v>285</v>
      </c>
      <c r="H66" s="6" t="s">
        <v>693</v>
      </c>
      <c r="I66" s="6" t="s">
        <v>830</v>
      </c>
      <c r="J66" s="7" t="s">
        <v>834</v>
      </c>
    </row>
    <row r="67" spans="1:10" ht="31.2">
      <c r="A67" s="10" t="s">
        <v>65</v>
      </c>
      <c r="B67" s="6" t="s">
        <v>278</v>
      </c>
      <c r="C67" s="7" t="s">
        <v>827</v>
      </c>
      <c r="D67" s="7" t="s">
        <v>223</v>
      </c>
      <c r="E67" s="6" t="s">
        <v>587</v>
      </c>
      <c r="F67" s="7" t="s">
        <v>827</v>
      </c>
      <c r="G67" s="7" t="s">
        <v>285</v>
      </c>
      <c r="H67" s="6" t="s">
        <v>694</v>
      </c>
      <c r="I67" s="6" t="s">
        <v>830</v>
      </c>
      <c r="J67" s="7" t="s">
        <v>828</v>
      </c>
    </row>
    <row r="68" spans="1:10" ht="31.2">
      <c r="A68" s="10" t="s">
        <v>66</v>
      </c>
      <c r="B68" s="6" t="s">
        <v>279</v>
      </c>
      <c r="C68" s="7" t="s">
        <v>827</v>
      </c>
      <c r="D68" s="7" t="s">
        <v>273</v>
      </c>
      <c r="E68" s="6" t="s">
        <v>588</v>
      </c>
      <c r="F68" s="7" t="s">
        <v>827</v>
      </c>
      <c r="G68" s="7" t="s">
        <v>285</v>
      </c>
      <c r="H68" s="6" t="s">
        <v>695</v>
      </c>
      <c r="I68" s="6" t="s">
        <v>830</v>
      </c>
      <c r="J68" s="7" t="s">
        <v>828</v>
      </c>
    </row>
    <row r="69" spans="1:10" ht="124.8">
      <c r="A69" s="10" t="s">
        <v>67</v>
      </c>
      <c r="B69" s="6" t="s">
        <v>280</v>
      </c>
      <c r="C69" s="7" t="s">
        <v>282</v>
      </c>
      <c r="D69" s="7" t="s">
        <v>281</v>
      </c>
      <c r="E69" s="6" t="s">
        <v>589</v>
      </c>
      <c r="F69" s="7" t="s">
        <v>826</v>
      </c>
      <c r="G69" s="7" t="s">
        <v>555</v>
      </c>
      <c r="H69" s="6" t="s">
        <v>696</v>
      </c>
      <c r="I69" s="6" t="s">
        <v>830</v>
      </c>
      <c r="J69" s="7" t="s">
        <v>828</v>
      </c>
    </row>
    <row r="70" spans="1:10" ht="46.8">
      <c r="A70" s="10" t="s">
        <v>68</v>
      </c>
      <c r="B70" s="6" t="s">
        <v>283</v>
      </c>
      <c r="C70" s="7" t="s">
        <v>827</v>
      </c>
      <c r="D70" s="7"/>
      <c r="E70" s="6" t="s">
        <v>590</v>
      </c>
      <c r="F70" s="7" t="s">
        <v>827</v>
      </c>
      <c r="G70" s="7" t="s">
        <v>226</v>
      </c>
      <c r="H70" s="6" t="s">
        <v>697</v>
      </c>
      <c r="I70" s="6" t="s">
        <v>830</v>
      </c>
      <c r="J70" s="6"/>
    </row>
    <row r="71" spans="1:10" ht="31.2">
      <c r="A71" s="10" t="s">
        <v>69</v>
      </c>
      <c r="B71" s="6" t="s">
        <v>284</v>
      </c>
      <c r="C71" s="7" t="s">
        <v>827</v>
      </c>
      <c r="D71" s="7" t="s">
        <v>285</v>
      </c>
      <c r="E71" s="6" t="s">
        <v>284</v>
      </c>
      <c r="F71" s="7" t="s">
        <v>827</v>
      </c>
      <c r="G71" s="7" t="s">
        <v>285</v>
      </c>
      <c r="H71" s="6" t="s">
        <v>698</v>
      </c>
      <c r="I71" s="6" t="s">
        <v>830</v>
      </c>
      <c r="J71" s="7" t="s">
        <v>828</v>
      </c>
    </row>
    <row r="72" spans="1:10" ht="31.2">
      <c r="A72" s="10" t="s">
        <v>70</v>
      </c>
      <c r="B72" s="6" t="s">
        <v>286</v>
      </c>
      <c r="C72" s="7" t="s">
        <v>827</v>
      </c>
      <c r="D72" s="7" t="s">
        <v>285</v>
      </c>
      <c r="E72" s="6" t="s">
        <v>591</v>
      </c>
      <c r="F72" s="7" t="s">
        <v>827</v>
      </c>
      <c r="G72" s="7" t="s">
        <v>285</v>
      </c>
      <c r="H72" s="6" t="s">
        <v>699</v>
      </c>
      <c r="I72" s="6" t="s">
        <v>830</v>
      </c>
      <c r="J72" s="7" t="s">
        <v>835</v>
      </c>
    </row>
    <row r="73" spans="1:10" ht="31.2">
      <c r="A73" s="10" t="s">
        <v>71</v>
      </c>
      <c r="B73" s="6" t="s">
        <v>287</v>
      </c>
      <c r="C73" s="7" t="s">
        <v>827</v>
      </c>
      <c r="D73" s="7" t="s">
        <v>285</v>
      </c>
      <c r="E73" s="6" t="s">
        <v>592</v>
      </c>
      <c r="F73" s="7" t="s">
        <v>827</v>
      </c>
      <c r="G73" s="7" t="s">
        <v>285</v>
      </c>
      <c r="H73" s="6" t="s">
        <v>700</v>
      </c>
      <c r="I73" s="6" t="s">
        <v>830</v>
      </c>
      <c r="J73" s="7" t="s">
        <v>828</v>
      </c>
    </row>
    <row r="74" spans="1:10" ht="46.8">
      <c r="A74" s="10" t="s">
        <v>72</v>
      </c>
      <c r="B74" s="6" t="s">
        <v>288</v>
      </c>
      <c r="C74" s="7" t="s">
        <v>827</v>
      </c>
      <c r="D74" s="7"/>
      <c r="E74" s="6" t="s">
        <v>593</v>
      </c>
      <c r="F74" s="7" t="s">
        <v>827</v>
      </c>
      <c r="G74" s="7" t="s">
        <v>226</v>
      </c>
      <c r="H74" s="6" t="s">
        <v>701</v>
      </c>
      <c r="I74" s="6" t="s">
        <v>830</v>
      </c>
      <c r="J74" s="7" t="s">
        <v>835</v>
      </c>
    </row>
    <row r="75" spans="1:10" ht="46.8">
      <c r="A75" s="10" t="s">
        <v>73</v>
      </c>
      <c r="B75" s="6" t="s">
        <v>289</v>
      </c>
      <c r="C75" s="7" t="s">
        <v>827</v>
      </c>
      <c r="D75" s="7"/>
      <c r="E75" s="6" t="s">
        <v>594</v>
      </c>
      <c r="F75" s="7" t="s">
        <v>827</v>
      </c>
      <c r="G75" s="7" t="s">
        <v>226</v>
      </c>
      <c r="H75" s="6" t="s">
        <v>702</v>
      </c>
      <c r="I75" s="6" t="s">
        <v>830</v>
      </c>
      <c r="J75" s="7" t="s">
        <v>828</v>
      </c>
    </row>
    <row r="76" spans="1:10" ht="46.8">
      <c r="A76" s="10" t="s">
        <v>74</v>
      </c>
      <c r="B76" s="6" t="s">
        <v>290</v>
      </c>
      <c r="C76" s="7" t="s">
        <v>827</v>
      </c>
      <c r="D76" s="7"/>
      <c r="E76" s="6" t="s">
        <v>595</v>
      </c>
      <c r="F76" s="7" t="s">
        <v>827</v>
      </c>
      <c r="G76" s="7" t="s">
        <v>226</v>
      </c>
      <c r="H76" s="6" t="s">
        <v>703</v>
      </c>
      <c r="I76" s="6" t="s">
        <v>830</v>
      </c>
      <c r="J76" s="7" t="s">
        <v>835</v>
      </c>
    </row>
    <row r="77" spans="1:10" ht="31.2">
      <c r="A77" s="10" t="s">
        <v>75</v>
      </c>
      <c r="B77" s="6" t="s">
        <v>291</v>
      </c>
      <c r="C77" s="7" t="s">
        <v>827</v>
      </c>
      <c r="D77" s="7"/>
      <c r="E77" s="6" t="s">
        <v>596</v>
      </c>
      <c r="F77" s="7" t="s">
        <v>827</v>
      </c>
      <c r="G77" s="7" t="s">
        <v>285</v>
      </c>
      <c r="H77" s="6" t="s">
        <v>704</v>
      </c>
      <c r="I77" s="6" t="s">
        <v>830</v>
      </c>
      <c r="J77" s="7" t="s">
        <v>835</v>
      </c>
    </row>
    <row r="78" spans="1:10" ht="31.2">
      <c r="A78" s="10" t="s">
        <v>76</v>
      </c>
      <c r="B78" s="6" t="s">
        <v>292</v>
      </c>
      <c r="C78" s="7" t="s">
        <v>827</v>
      </c>
      <c r="D78" s="7" t="s">
        <v>285</v>
      </c>
      <c r="E78" s="6" t="s">
        <v>597</v>
      </c>
      <c r="F78" s="7" t="s">
        <v>827</v>
      </c>
      <c r="G78" s="7" t="s">
        <v>285</v>
      </c>
      <c r="H78" s="6" t="s">
        <v>705</v>
      </c>
      <c r="I78" s="6" t="s">
        <v>830</v>
      </c>
      <c r="J78" s="6"/>
    </row>
    <row r="79" spans="1:10" ht="46.8">
      <c r="A79" s="10" t="s">
        <v>77</v>
      </c>
      <c r="B79" s="6" t="s">
        <v>293</v>
      </c>
      <c r="C79" s="7" t="s">
        <v>827</v>
      </c>
      <c r="D79" s="7" t="s">
        <v>285</v>
      </c>
      <c r="E79" s="6" t="s">
        <v>598</v>
      </c>
      <c r="F79" s="7" t="s">
        <v>827</v>
      </c>
      <c r="G79" s="7" t="s">
        <v>285</v>
      </c>
      <c r="H79" s="6" t="s">
        <v>706</v>
      </c>
      <c r="I79" s="7" t="s">
        <v>826</v>
      </c>
      <c r="J79" s="7" t="s">
        <v>322</v>
      </c>
    </row>
    <row r="80" spans="1:10" ht="93.6">
      <c r="A80" s="10" t="s">
        <v>78</v>
      </c>
      <c r="B80" s="6" t="s">
        <v>294</v>
      </c>
      <c r="C80" s="7" t="s">
        <v>282</v>
      </c>
      <c r="D80" s="7" t="s">
        <v>295</v>
      </c>
      <c r="E80" s="6" t="s">
        <v>599</v>
      </c>
      <c r="F80" s="7" t="s">
        <v>826</v>
      </c>
      <c r="G80" s="7" t="s">
        <v>600</v>
      </c>
      <c r="H80" s="6" t="s">
        <v>707</v>
      </c>
      <c r="I80" s="6" t="s">
        <v>830</v>
      </c>
      <c r="J80" s="6"/>
    </row>
    <row r="81" spans="1:10" ht="46.8">
      <c r="A81" s="10" t="s">
        <v>79</v>
      </c>
      <c r="B81" s="6" t="s">
        <v>296</v>
      </c>
      <c r="C81" s="7" t="s">
        <v>827</v>
      </c>
      <c r="D81" s="7"/>
      <c r="E81" s="6" t="s">
        <v>601</v>
      </c>
      <c r="F81" s="7" t="s">
        <v>827</v>
      </c>
      <c r="G81" s="7" t="s">
        <v>226</v>
      </c>
      <c r="H81" s="6" t="s">
        <v>708</v>
      </c>
      <c r="I81" s="6" t="s">
        <v>830</v>
      </c>
      <c r="J81" s="6"/>
    </row>
    <row r="82" spans="1:10" ht="31.2">
      <c r="A82" s="10" t="s">
        <v>80</v>
      </c>
      <c r="B82" s="6" t="s">
        <v>297</v>
      </c>
      <c r="C82" s="7" t="s">
        <v>827</v>
      </c>
      <c r="D82" s="7" t="s">
        <v>285</v>
      </c>
      <c r="E82" s="6" t="s">
        <v>602</v>
      </c>
      <c r="F82" s="7" t="s">
        <v>827</v>
      </c>
      <c r="G82" s="7" t="s">
        <v>285</v>
      </c>
      <c r="H82" s="6" t="s">
        <v>709</v>
      </c>
      <c r="I82" s="6" t="s">
        <v>830</v>
      </c>
      <c r="J82" s="7" t="s">
        <v>828</v>
      </c>
    </row>
    <row r="83" spans="1:10" ht="93.6">
      <c r="A83" s="10" t="s">
        <v>81</v>
      </c>
      <c r="B83" s="6" t="s">
        <v>299</v>
      </c>
      <c r="C83" s="7" t="s">
        <v>282</v>
      </c>
      <c r="D83" s="7" t="s">
        <v>298</v>
      </c>
      <c r="E83" s="6" t="s">
        <v>603</v>
      </c>
      <c r="F83" s="7" t="s">
        <v>826</v>
      </c>
      <c r="G83" s="7" t="s">
        <v>604</v>
      </c>
      <c r="H83" s="6" t="s">
        <v>710</v>
      </c>
      <c r="I83" s="6" t="s">
        <v>830</v>
      </c>
      <c r="J83" s="6"/>
    </row>
    <row r="84" spans="1:10" ht="31.2">
      <c r="A84" s="10" t="s">
        <v>82</v>
      </c>
      <c r="B84" s="6" t="s">
        <v>300</v>
      </c>
      <c r="C84" s="7" t="s">
        <v>827</v>
      </c>
      <c r="D84" s="7" t="s">
        <v>285</v>
      </c>
      <c r="E84" s="6" t="s">
        <v>605</v>
      </c>
      <c r="F84" s="7" t="s">
        <v>827</v>
      </c>
      <c r="G84" s="7" t="s">
        <v>285</v>
      </c>
      <c r="H84" s="6" t="s">
        <v>711</v>
      </c>
      <c r="I84" s="6" t="s">
        <v>830</v>
      </c>
      <c r="J84" s="7" t="s">
        <v>828</v>
      </c>
    </row>
    <row r="85" spans="1:10" ht="78">
      <c r="A85" s="10" t="s">
        <v>83</v>
      </c>
      <c r="B85" s="6" t="s">
        <v>301</v>
      </c>
      <c r="C85" s="7" t="s">
        <v>827</v>
      </c>
      <c r="D85" s="7"/>
      <c r="E85" s="6" t="s">
        <v>606</v>
      </c>
      <c r="F85" s="7" t="s">
        <v>827</v>
      </c>
      <c r="G85" s="7" t="s">
        <v>538</v>
      </c>
      <c r="H85" s="6" t="s">
        <v>712</v>
      </c>
      <c r="I85" s="6" t="s">
        <v>830</v>
      </c>
      <c r="J85" s="7" t="s">
        <v>828</v>
      </c>
    </row>
    <row r="86" spans="1:10" ht="31.2">
      <c r="A86" s="10" t="s">
        <v>84</v>
      </c>
      <c r="B86" s="6" t="s">
        <v>302</v>
      </c>
      <c r="C86" s="7" t="s">
        <v>827</v>
      </c>
      <c r="D86" s="7" t="s">
        <v>303</v>
      </c>
      <c r="E86" s="6" t="s">
        <v>607</v>
      </c>
      <c r="F86" s="7" t="s">
        <v>827</v>
      </c>
      <c r="G86" s="7" t="s">
        <v>285</v>
      </c>
      <c r="H86" s="6" t="s">
        <v>713</v>
      </c>
      <c r="I86" s="6" t="s">
        <v>830</v>
      </c>
      <c r="J86" s="7" t="s">
        <v>828</v>
      </c>
    </row>
    <row r="87" spans="1:10" ht="46.8">
      <c r="A87" s="10" t="s">
        <v>85</v>
      </c>
      <c r="B87" s="6" t="s">
        <v>304</v>
      </c>
      <c r="C87" s="7" t="s">
        <v>827</v>
      </c>
      <c r="D87" s="7"/>
      <c r="E87" s="6" t="s">
        <v>608</v>
      </c>
      <c r="F87" s="7" t="s">
        <v>827</v>
      </c>
      <c r="G87" s="7" t="s">
        <v>226</v>
      </c>
      <c r="H87" s="6" t="s">
        <v>714</v>
      </c>
      <c r="I87" s="6" t="s">
        <v>830</v>
      </c>
      <c r="J87" s="7" t="s">
        <v>828</v>
      </c>
    </row>
    <row r="88" spans="1:10" ht="31.2">
      <c r="A88" s="10" t="s">
        <v>86</v>
      </c>
      <c r="B88" s="6" t="s">
        <v>305</v>
      </c>
      <c r="C88" s="7" t="s">
        <v>827</v>
      </c>
      <c r="D88" s="7" t="s">
        <v>285</v>
      </c>
      <c r="E88" s="6" t="s">
        <v>609</v>
      </c>
      <c r="F88" s="7" t="s">
        <v>827</v>
      </c>
      <c r="G88" s="7" t="s">
        <v>285</v>
      </c>
      <c r="H88" s="6" t="s">
        <v>715</v>
      </c>
      <c r="I88" s="6" t="s">
        <v>830</v>
      </c>
      <c r="J88" s="7" t="s">
        <v>828</v>
      </c>
    </row>
    <row r="89" spans="1:10" ht="31.2">
      <c r="A89" s="10" t="s">
        <v>87</v>
      </c>
      <c r="B89" s="6" t="s">
        <v>306</v>
      </c>
      <c r="C89" s="7" t="s">
        <v>827</v>
      </c>
      <c r="D89" s="7" t="s">
        <v>285</v>
      </c>
      <c r="E89" s="6" t="s">
        <v>610</v>
      </c>
      <c r="F89" s="7" t="s">
        <v>827</v>
      </c>
      <c r="G89" s="7" t="s">
        <v>285</v>
      </c>
      <c r="H89" s="6" t="s">
        <v>716</v>
      </c>
      <c r="I89" s="6" t="s">
        <v>830</v>
      </c>
      <c r="J89" s="7" t="s">
        <v>828</v>
      </c>
    </row>
    <row r="90" spans="1:10" ht="31.2">
      <c r="A90" s="10" t="s">
        <v>88</v>
      </c>
      <c r="B90" s="6" t="s">
        <v>307</v>
      </c>
      <c r="C90" s="7" t="s">
        <v>827</v>
      </c>
      <c r="D90" s="7" t="s">
        <v>285</v>
      </c>
      <c r="E90" s="6" t="s">
        <v>611</v>
      </c>
      <c r="F90" s="7" t="s">
        <v>827</v>
      </c>
      <c r="G90" s="7" t="s">
        <v>285</v>
      </c>
      <c r="H90" s="6" t="s">
        <v>717</v>
      </c>
      <c r="I90" s="6" t="s">
        <v>830</v>
      </c>
      <c r="J90" s="6"/>
    </row>
    <row r="91" spans="1:10" ht="31.2">
      <c r="A91" s="10" t="s">
        <v>89</v>
      </c>
      <c r="B91" s="6" t="s">
        <v>308</v>
      </c>
      <c r="C91" s="7" t="s">
        <v>827</v>
      </c>
      <c r="D91" s="7" t="s">
        <v>285</v>
      </c>
      <c r="E91" s="6" t="s">
        <v>612</v>
      </c>
      <c r="F91" s="7" t="s">
        <v>827</v>
      </c>
      <c r="G91" s="7" t="s">
        <v>285</v>
      </c>
      <c r="H91" s="6" t="s">
        <v>718</v>
      </c>
      <c r="I91" s="6" t="s">
        <v>830</v>
      </c>
      <c r="J91" s="7" t="s">
        <v>828</v>
      </c>
    </row>
    <row r="92" spans="1:10" ht="31.2" customHeight="1">
      <c r="A92" s="10" t="s">
        <v>90</v>
      </c>
      <c r="B92" s="6" t="s">
        <v>309</v>
      </c>
      <c r="C92" s="7" t="s">
        <v>282</v>
      </c>
      <c r="D92" s="7" t="s">
        <v>310</v>
      </c>
      <c r="E92" s="6" t="s">
        <v>613</v>
      </c>
      <c r="F92" s="7" t="s">
        <v>826</v>
      </c>
      <c r="G92" s="7" t="s">
        <v>555</v>
      </c>
      <c r="H92" s="6" t="s">
        <v>719</v>
      </c>
      <c r="I92" s="6" t="s">
        <v>830</v>
      </c>
      <c r="J92" s="7" t="s">
        <v>828</v>
      </c>
    </row>
    <row r="93" spans="1:10" ht="30" customHeight="1">
      <c r="A93" s="10" t="s">
        <v>91</v>
      </c>
      <c r="B93" s="6" t="s">
        <v>615</v>
      </c>
      <c r="C93" s="7" t="s">
        <v>282</v>
      </c>
      <c r="D93" s="7" t="s">
        <v>616</v>
      </c>
      <c r="E93" s="6" t="s">
        <v>614</v>
      </c>
      <c r="F93" s="7" t="s">
        <v>826</v>
      </c>
      <c r="G93" s="7" t="s">
        <v>555</v>
      </c>
      <c r="H93" s="6" t="s">
        <v>720</v>
      </c>
      <c r="I93" s="6" t="s">
        <v>830</v>
      </c>
      <c r="J93" s="7" t="s">
        <v>828</v>
      </c>
    </row>
    <row r="94" spans="1:10" ht="24" customHeight="1">
      <c r="A94" s="10" t="s">
        <v>92</v>
      </c>
      <c r="B94" s="6" t="s">
        <v>311</v>
      </c>
      <c r="C94" s="7" t="s">
        <v>282</v>
      </c>
      <c r="D94" s="7" t="s">
        <v>312</v>
      </c>
      <c r="E94" s="6" t="s">
        <v>617</v>
      </c>
      <c r="F94" s="7" t="s">
        <v>826</v>
      </c>
      <c r="G94" s="7" t="s">
        <v>618</v>
      </c>
      <c r="H94" s="6" t="s">
        <v>721</v>
      </c>
      <c r="I94" s="6" t="s">
        <v>830</v>
      </c>
      <c r="J94" s="7" t="s">
        <v>828</v>
      </c>
    </row>
    <row r="95" spans="1:10" ht="31.2">
      <c r="A95" s="10" t="s">
        <v>93</v>
      </c>
      <c r="B95" s="6" t="s">
        <v>313</v>
      </c>
      <c r="C95" s="7" t="s">
        <v>827</v>
      </c>
      <c r="D95" s="7" t="s">
        <v>285</v>
      </c>
      <c r="E95" s="6" t="s">
        <v>619</v>
      </c>
      <c r="F95" s="7" t="s">
        <v>827</v>
      </c>
      <c r="G95" s="7" t="s">
        <v>285</v>
      </c>
      <c r="H95" s="6" t="s">
        <v>722</v>
      </c>
      <c r="I95" s="6" t="s">
        <v>830</v>
      </c>
      <c r="J95" s="7" t="s">
        <v>828</v>
      </c>
    </row>
    <row r="96" spans="1:10" ht="25.2" customHeight="1">
      <c r="A96" s="10" t="s">
        <v>94</v>
      </c>
      <c r="B96" s="6" t="s">
        <v>621</v>
      </c>
      <c r="C96" s="7" t="s">
        <v>282</v>
      </c>
      <c r="D96" s="7" t="s">
        <v>622</v>
      </c>
      <c r="E96" s="6" t="s">
        <v>620</v>
      </c>
      <c r="F96" s="7" t="s">
        <v>826</v>
      </c>
      <c r="G96" s="7" t="s">
        <v>618</v>
      </c>
      <c r="H96" s="6" t="s">
        <v>723</v>
      </c>
      <c r="I96" s="6" t="s">
        <v>830</v>
      </c>
      <c r="J96" s="7" t="s">
        <v>828</v>
      </c>
    </row>
    <row r="97" spans="1:10" ht="24" customHeight="1">
      <c r="A97" s="10" t="s">
        <v>95</v>
      </c>
      <c r="B97" s="6" t="s">
        <v>314</v>
      </c>
      <c r="C97" s="7" t="s">
        <v>282</v>
      </c>
      <c r="D97" s="7" t="s">
        <v>295</v>
      </c>
      <c r="E97" s="6" t="s">
        <v>623</v>
      </c>
      <c r="F97" s="7" t="s">
        <v>826</v>
      </c>
      <c r="G97" s="7" t="s">
        <v>618</v>
      </c>
      <c r="H97" s="6" t="s">
        <v>724</v>
      </c>
      <c r="I97" s="6" t="s">
        <v>830</v>
      </c>
      <c r="J97" s="7" t="s">
        <v>828</v>
      </c>
    </row>
    <row r="98" spans="1:10" ht="25.2" customHeight="1">
      <c r="A98" s="10" t="s">
        <v>96</v>
      </c>
      <c r="B98" s="6" t="s">
        <v>315</v>
      </c>
      <c r="C98" s="7" t="s">
        <v>282</v>
      </c>
      <c r="D98" s="7" t="s">
        <v>295</v>
      </c>
      <c r="E98" s="6" t="s">
        <v>624</v>
      </c>
      <c r="F98" s="7" t="s">
        <v>826</v>
      </c>
      <c r="G98" s="7" t="s">
        <v>618</v>
      </c>
      <c r="H98" s="6" t="s">
        <v>725</v>
      </c>
      <c r="I98" s="6" t="s">
        <v>830</v>
      </c>
      <c r="J98" s="7" t="s">
        <v>828</v>
      </c>
    </row>
    <row r="99" spans="1:10" ht="30" customHeight="1">
      <c r="A99" s="10" t="s">
        <v>97</v>
      </c>
      <c r="B99" s="6" t="s">
        <v>316</v>
      </c>
      <c r="C99" s="7" t="s">
        <v>282</v>
      </c>
      <c r="D99" s="7" t="s">
        <v>295</v>
      </c>
      <c r="E99" s="6" t="s">
        <v>625</v>
      </c>
      <c r="F99" s="7" t="s">
        <v>826</v>
      </c>
      <c r="G99" s="7" t="s">
        <v>618</v>
      </c>
      <c r="H99" s="6" t="s">
        <v>726</v>
      </c>
      <c r="I99" s="6" t="s">
        <v>830</v>
      </c>
      <c r="J99" s="7" t="s">
        <v>828</v>
      </c>
    </row>
    <row r="100" spans="1:10" ht="32.4" customHeight="1">
      <c r="A100" s="10" t="s">
        <v>98</v>
      </c>
      <c r="B100" s="6" t="s">
        <v>627</v>
      </c>
      <c r="C100" s="7" t="s">
        <v>282</v>
      </c>
      <c r="D100" s="7" t="s">
        <v>622</v>
      </c>
      <c r="E100" s="6" t="s">
        <v>626</v>
      </c>
      <c r="F100" s="7" t="s">
        <v>826</v>
      </c>
      <c r="G100" s="7" t="s">
        <v>555</v>
      </c>
      <c r="H100" s="6" t="s">
        <v>727</v>
      </c>
      <c r="I100" s="6" t="s">
        <v>830</v>
      </c>
      <c r="J100" s="7" t="s">
        <v>828</v>
      </c>
    </row>
    <row r="101" spans="1:10" ht="28.8" customHeight="1">
      <c r="A101" s="10" t="s">
        <v>99</v>
      </c>
      <c r="B101" s="6" t="s">
        <v>317</v>
      </c>
      <c r="C101" s="7" t="s">
        <v>282</v>
      </c>
      <c r="D101" s="7" t="s">
        <v>318</v>
      </c>
      <c r="E101" s="6" t="s">
        <v>628</v>
      </c>
      <c r="F101" s="7" t="s">
        <v>826</v>
      </c>
      <c r="G101" s="7" t="s">
        <v>555</v>
      </c>
      <c r="H101" s="6" t="s">
        <v>728</v>
      </c>
      <c r="I101" s="6" t="s">
        <v>830</v>
      </c>
      <c r="J101" s="7" t="s">
        <v>828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zoomScale="40" zoomScaleNormal="40" workbookViewId="0">
      <selection activeCell="M8" sqref="M8"/>
    </sheetView>
  </sheetViews>
  <sheetFormatPr defaultColWidth="11.19921875" defaultRowHeight="15.6"/>
  <cols>
    <col min="1" max="1" width="26.296875" customWidth="1"/>
    <col min="2" max="2" width="22.09765625" style="1" customWidth="1"/>
    <col min="3" max="3" width="21.69921875" style="1" customWidth="1"/>
    <col min="4" max="4" width="9.59765625" style="1" customWidth="1"/>
    <col min="5" max="6" width="19.796875" style="1" customWidth="1"/>
    <col min="7" max="7" width="8.296875" style="1" customWidth="1"/>
    <col min="8" max="8" width="19.09765625" style="7" customWidth="1"/>
    <col min="9" max="9" width="17.796875" customWidth="1"/>
    <col min="10" max="10" width="6.59765625" customWidth="1"/>
    <col min="13" max="13" width="28.09765625" customWidth="1"/>
    <col min="14" max="14" width="27.59765625" customWidth="1"/>
    <col min="15" max="15" width="18.796875" customWidth="1"/>
    <col min="16" max="16" width="13.3984375" customWidth="1"/>
    <col min="17" max="17" width="13.19921875" customWidth="1"/>
  </cols>
  <sheetData>
    <row r="1" spans="1:17" ht="42">
      <c r="A1" s="36" t="s">
        <v>101</v>
      </c>
      <c r="B1" s="37" t="s">
        <v>201</v>
      </c>
      <c r="C1" s="37" t="s">
        <v>319</v>
      </c>
      <c r="D1" s="37"/>
      <c r="E1" s="37" t="s">
        <v>202</v>
      </c>
      <c r="F1" s="37" t="s">
        <v>319</v>
      </c>
      <c r="G1" s="37"/>
      <c r="H1" s="37" t="s">
        <v>203</v>
      </c>
      <c r="I1" s="37" t="s">
        <v>319</v>
      </c>
      <c r="L1" s="45"/>
      <c r="M1" s="38"/>
      <c r="N1" s="18"/>
      <c r="O1" s="18" t="s">
        <v>201</v>
      </c>
      <c r="P1" s="19" t="s">
        <v>202</v>
      </c>
      <c r="Q1" s="20" t="s">
        <v>203</v>
      </c>
    </row>
    <row r="2" spans="1:17" ht="47.4">
      <c r="A2" s="4" t="s">
        <v>102</v>
      </c>
      <c r="B2" s="1" t="s">
        <v>323</v>
      </c>
      <c r="C2" t="s">
        <v>826</v>
      </c>
      <c r="D2" s="1" t="s">
        <v>846</v>
      </c>
      <c r="E2" s="1" t="s">
        <v>421</v>
      </c>
      <c r="F2" s="1" t="s">
        <v>827</v>
      </c>
      <c r="G2" s="1" t="s">
        <v>845</v>
      </c>
      <c r="H2" s="7" t="s">
        <v>729</v>
      </c>
      <c r="I2" s="1" t="s">
        <v>827</v>
      </c>
      <c r="J2" s="1" t="s">
        <v>845</v>
      </c>
      <c r="L2" s="51"/>
      <c r="M2" s="52" t="s">
        <v>827</v>
      </c>
      <c r="N2" s="39" t="s">
        <v>844</v>
      </c>
      <c r="O2" s="40">
        <f>COUNTIF(C2:C101,"Полное совпадение")</f>
        <v>21</v>
      </c>
      <c r="P2" s="40">
        <f>COUNTIF(F2:F101,"Полное совпадение")</f>
        <v>73</v>
      </c>
      <c r="Q2" s="41">
        <f>COUNTIF(I2:I101,"Полное совпадение")</f>
        <v>1</v>
      </c>
    </row>
    <row r="3" spans="1:17" ht="78.599999999999994">
      <c r="A3" s="4" t="s">
        <v>103</v>
      </c>
      <c r="B3" s="1" t="s">
        <v>324</v>
      </c>
      <c r="C3" s="1" t="s">
        <v>827</v>
      </c>
      <c r="D3" s="1" t="s">
        <v>846</v>
      </c>
      <c r="E3" s="1" t="s">
        <v>422</v>
      </c>
      <c r="F3" s="1" t="s">
        <v>827</v>
      </c>
      <c r="G3" s="1" t="s">
        <v>846</v>
      </c>
      <c r="H3" s="7" t="s">
        <v>730</v>
      </c>
      <c r="I3" t="s">
        <v>830</v>
      </c>
      <c r="J3" s="7" t="s">
        <v>845</v>
      </c>
      <c r="L3" s="45"/>
      <c r="M3" s="53" t="s">
        <v>826</v>
      </c>
      <c r="N3" s="43" t="s">
        <v>849</v>
      </c>
      <c r="O3" s="40">
        <f>COUNTIF(C2:C101,"Частичное совпадение")</f>
        <v>79</v>
      </c>
      <c r="P3" s="40">
        <f>COUNTIF(F2:F101,"Частичное совпадение")</f>
        <v>22</v>
      </c>
      <c r="Q3" s="41">
        <f>COUNTIF(I2:I101,"Частичное совпадение")</f>
        <v>0</v>
      </c>
    </row>
    <row r="4" spans="1:17" ht="78.599999999999994">
      <c r="A4" s="4" t="s">
        <v>104</v>
      </c>
      <c r="B4" s="1" t="s">
        <v>325</v>
      </c>
      <c r="C4" t="s">
        <v>826</v>
      </c>
      <c r="D4" s="1" t="s">
        <v>846</v>
      </c>
      <c r="E4" s="1" t="s">
        <v>423</v>
      </c>
      <c r="F4" s="1" t="s">
        <v>827</v>
      </c>
      <c r="G4" s="1" t="s">
        <v>845</v>
      </c>
      <c r="H4" s="7" t="s">
        <v>731</v>
      </c>
      <c r="I4" t="s">
        <v>830</v>
      </c>
      <c r="J4" s="7" t="s">
        <v>845</v>
      </c>
      <c r="L4" s="45"/>
      <c r="M4" s="54" t="s">
        <v>830</v>
      </c>
      <c r="N4" s="44" t="s">
        <v>843</v>
      </c>
      <c r="O4" s="40">
        <f>COUNTIF(C2:C101,"Нет совпадений")</f>
        <v>0</v>
      </c>
      <c r="P4" s="40">
        <f>COUNTIF(F2:F101,"Нет совпадений")</f>
        <v>5</v>
      </c>
      <c r="Q4" s="41">
        <f>COUNTIF(I2:I101,"Нет совпадений")</f>
        <v>99</v>
      </c>
    </row>
    <row r="5" spans="1:17" ht="94.2">
      <c r="A5" s="4" t="s">
        <v>105</v>
      </c>
      <c r="B5" s="1" t="s">
        <v>326</v>
      </c>
      <c r="C5" t="s">
        <v>826</v>
      </c>
      <c r="D5" s="1" t="s">
        <v>846</v>
      </c>
      <c r="E5" s="1" t="s">
        <v>424</v>
      </c>
      <c r="F5" s="1" t="s">
        <v>827</v>
      </c>
      <c r="G5" s="1" t="s">
        <v>845</v>
      </c>
      <c r="H5" s="7" t="s">
        <v>732</v>
      </c>
      <c r="I5" t="s">
        <v>830</v>
      </c>
      <c r="J5" s="7" t="s">
        <v>845</v>
      </c>
      <c r="L5" s="45"/>
      <c r="M5" s="42"/>
      <c r="N5" s="45"/>
      <c r="O5" s="45"/>
      <c r="P5" s="45"/>
      <c r="Q5" s="46"/>
    </row>
    <row r="6" spans="1:17" ht="47.4">
      <c r="A6" s="4" t="s">
        <v>106</v>
      </c>
      <c r="B6" s="1" t="s">
        <v>327</v>
      </c>
      <c r="C6" t="s">
        <v>826</v>
      </c>
      <c r="D6" s="1" t="s">
        <v>846</v>
      </c>
      <c r="E6" s="1" t="s">
        <v>425</v>
      </c>
      <c r="F6" s="1" t="s">
        <v>827</v>
      </c>
      <c r="G6" s="1" t="s">
        <v>845</v>
      </c>
      <c r="H6" s="7" t="s">
        <v>733</v>
      </c>
      <c r="I6" t="s">
        <v>830</v>
      </c>
      <c r="J6" s="7" t="s">
        <v>845</v>
      </c>
      <c r="L6" s="45"/>
      <c r="M6" s="47" t="s">
        <v>848</v>
      </c>
      <c r="N6" s="49">
        <f>COUNTA(C2:C101)</f>
        <v>100</v>
      </c>
      <c r="O6" s="48"/>
      <c r="P6" s="48"/>
      <c r="Q6" s="50"/>
    </row>
    <row r="7" spans="1:17" ht="62.4">
      <c r="A7" s="4" t="s">
        <v>107</v>
      </c>
      <c r="B7" s="1" t="s">
        <v>328</v>
      </c>
      <c r="C7" t="s">
        <v>826</v>
      </c>
      <c r="D7" s="1" t="s">
        <v>846</v>
      </c>
      <c r="E7" s="1" t="s">
        <v>426</v>
      </c>
      <c r="F7" s="1" t="s">
        <v>827</v>
      </c>
      <c r="G7" s="1" t="s">
        <v>845</v>
      </c>
      <c r="H7" s="7" t="s">
        <v>734</v>
      </c>
      <c r="I7" t="s">
        <v>830</v>
      </c>
      <c r="J7" s="7" t="s">
        <v>845</v>
      </c>
    </row>
    <row r="8" spans="1:17" ht="109.2">
      <c r="A8" s="4" t="s">
        <v>108</v>
      </c>
      <c r="B8" s="1" t="s">
        <v>329</v>
      </c>
      <c r="C8" t="s">
        <v>826</v>
      </c>
      <c r="D8" s="1" t="s">
        <v>846</v>
      </c>
      <c r="E8" s="1" t="s">
        <v>427</v>
      </c>
      <c r="F8" s="1" t="s">
        <v>827</v>
      </c>
      <c r="G8" s="1" t="s">
        <v>845</v>
      </c>
      <c r="H8" s="7" t="s">
        <v>735</v>
      </c>
      <c r="I8" t="s">
        <v>830</v>
      </c>
      <c r="J8" s="7" t="s">
        <v>845</v>
      </c>
    </row>
    <row r="9" spans="1:17" ht="93.6">
      <c r="A9" s="4" t="s">
        <v>109</v>
      </c>
      <c r="B9" s="1" t="s">
        <v>330</v>
      </c>
      <c r="C9" t="s">
        <v>826</v>
      </c>
      <c r="D9" s="1" t="s">
        <v>846</v>
      </c>
      <c r="E9" s="1" t="s">
        <v>428</v>
      </c>
      <c r="F9" s="1" t="s">
        <v>827</v>
      </c>
      <c r="G9" s="1" t="s">
        <v>845</v>
      </c>
      <c r="H9" s="7" t="s">
        <v>736</v>
      </c>
      <c r="I9" t="s">
        <v>830</v>
      </c>
      <c r="J9" s="7" t="s">
        <v>845</v>
      </c>
    </row>
    <row r="10" spans="1:17" ht="78">
      <c r="A10" s="4" t="s">
        <v>110</v>
      </c>
      <c r="B10" s="1" t="s">
        <v>420</v>
      </c>
      <c r="C10" s="1" t="s">
        <v>827</v>
      </c>
      <c r="D10" s="1" t="s">
        <v>845</v>
      </c>
      <c r="E10" s="1" t="s">
        <v>429</v>
      </c>
      <c r="F10" s="1" t="s">
        <v>827</v>
      </c>
      <c r="G10" s="1" t="s">
        <v>845</v>
      </c>
      <c r="H10" s="7" t="s">
        <v>737</v>
      </c>
      <c r="I10" t="s">
        <v>830</v>
      </c>
      <c r="J10" s="7" t="s">
        <v>845</v>
      </c>
    </row>
    <row r="11" spans="1:17" ht="109.2">
      <c r="A11" s="4" t="s">
        <v>111</v>
      </c>
      <c r="B11" s="1" t="s">
        <v>331</v>
      </c>
      <c r="C11" t="s">
        <v>826</v>
      </c>
      <c r="D11" s="1" t="s">
        <v>846</v>
      </c>
      <c r="E11" s="1" t="s">
        <v>430</v>
      </c>
      <c r="F11" s="1" t="s">
        <v>827</v>
      </c>
      <c r="G11" s="1" t="s">
        <v>845</v>
      </c>
      <c r="H11" s="7" t="s">
        <v>738</v>
      </c>
      <c r="I11" t="s">
        <v>830</v>
      </c>
      <c r="J11" s="7" t="s">
        <v>845</v>
      </c>
    </row>
    <row r="12" spans="1:17" ht="109.2">
      <c r="A12" s="4" t="s">
        <v>112</v>
      </c>
      <c r="B12" s="1" t="s">
        <v>332</v>
      </c>
      <c r="C12" s="1" t="s">
        <v>827</v>
      </c>
      <c r="D12" s="1" t="s">
        <v>845</v>
      </c>
      <c r="E12" s="1" t="s">
        <v>431</v>
      </c>
      <c r="F12" s="1" t="s">
        <v>827</v>
      </c>
      <c r="G12" s="1" t="s">
        <v>845</v>
      </c>
      <c r="H12" s="7" t="s">
        <v>739</v>
      </c>
      <c r="I12" t="s">
        <v>830</v>
      </c>
      <c r="J12" s="7" t="s">
        <v>845</v>
      </c>
    </row>
    <row r="13" spans="1:17" ht="93.6">
      <c r="A13" s="4" t="s">
        <v>113</v>
      </c>
      <c r="B13" s="1" t="s">
        <v>333</v>
      </c>
      <c r="C13" s="1" t="s">
        <v>827</v>
      </c>
      <c r="D13" s="1" t="s">
        <v>845</v>
      </c>
      <c r="E13" s="1" t="s">
        <v>432</v>
      </c>
      <c r="F13" s="1" t="s">
        <v>827</v>
      </c>
      <c r="G13" s="1" t="s">
        <v>845</v>
      </c>
      <c r="H13" s="7" t="s">
        <v>740</v>
      </c>
      <c r="I13" s="7" t="s">
        <v>830</v>
      </c>
      <c r="J13" s="7" t="s">
        <v>845</v>
      </c>
    </row>
    <row r="14" spans="1:17" ht="62.4">
      <c r="A14" s="4" t="s">
        <v>114</v>
      </c>
      <c r="B14" s="1" t="s">
        <v>334</v>
      </c>
      <c r="C14" t="s">
        <v>826</v>
      </c>
      <c r="D14" s="1" t="s">
        <v>846</v>
      </c>
      <c r="E14" s="1" t="s">
        <v>433</v>
      </c>
      <c r="F14" s="1" t="s">
        <v>827</v>
      </c>
      <c r="G14" s="1" t="s">
        <v>845</v>
      </c>
      <c r="H14" s="7" t="s">
        <v>741</v>
      </c>
      <c r="I14" s="7" t="s">
        <v>830</v>
      </c>
      <c r="J14" s="7" t="s">
        <v>845</v>
      </c>
    </row>
    <row r="15" spans="1:17" ht="124.8">
      <c r="A15" s="4" t="s">
        <v>115</v>
      </c>
      <c r="B15" s="1" t="s">
        <v>335</v>
      </c>
      <c r="C15" t="s">
        <v>826</v>
      </c>
      <c r="D15" s="1" t="s">
        <v>847</v>
      </c>
      <c r="E15" s="1" t="s">
        <v>434</v>
      </c>
      <c r="F15" t="s">
        <v>826</v>
      </c>
      <c r="G15" s="1" t="s">
        <v>847</v>
      </c>
      <c r="H15" s="7" t="s">
        <v>743</v>
      </c>
      <c r="I15" s="7" t="s">
        <v>830</v>
      </c>
      <c r="J15" s="7" t="s">
        <v>845</v>
      </c>
    </row>
    <row r="16" spans="1:17" ht="124.8">
      <c r="A16" s="4" t="s">
        <v>116</v>
      </c>
      <c r="B16" s="1" t="s">
        <v>336</v>
      </c>
      <c r="C16" t="s">
        <v>826</v>
      </c>
      <c r="D16" s="1" t="s">
        <v>847</v>
      </c>
      <c r="E16" s="1" t="s">
        <v>435</v>
      </c>
      <c r="F16" s="1" t="s">
        <v>827</v>
      </c>
      <c r="G16" s="1" t="s">
        <v>845</v>
      </c>
      <c r="H16" s="7" t="s">
        <v>742</v>
      </c>
      <c r="I16" s="7" t="s">
        <v>830</v>
      </c>
      <c r="J16" s="7" t="s">
        <v>845</v>
      </c>
    </row>
    <row r="17" spans="1:10" ht="109.2">
      <c r="A17" s="4" t="s">
        <v>117</v>
      </c>
      <c r="B17" s="1" t="s">
        <v>337</v>
      </c>
      <c r="C17" t="s">
        <v>826</v>
      </c>
      <c r="D17" s="1" t="s">
        <v>846</v>
      </c>
      <c r="E17" s="1" t="s">
        <v>436</v>
      </c>
      <c r="F17" s="1" t="s">
        <v>827</v>
      </c>
      <c r="G17" s="1" t="s">
        <v>845</v>
      </c>
      <c r="H17" s="7" t="s">
        <v>744</v>
      </c>
      <c r="I17" s="7" t="s">
        <v>830</v>
      </c>
      <c r="J17" s="7" t="s">
        <v>845</v>
      </c>
    </row>
    <row r="18" spans="1:10" ht="109.2">
      <c r="A18" s="4" t="s">
        <v>118</v>
      </c>
      <c r="B18" s="1" t="s">
        <v>338</v>
      </c>
      <c r="C18" t="s">
        <v>826</v>
      </c>
      <c r="D18" s="1" t="s">
        <v>846</v>
      </c>
      <c r="E18" s="1" t="s">
        <v>437</v>
      </c>
      <c r="F18" s="1" t="s">
        <v>827</v>
      </c>
      <c r="G18" s="1" t="s">
        <v>845</v>
      </c>
      <c r="H18" s="7" t="s">
        <v>745</v>
      </c>
      <c r="I18" s="7" t="s">
        <v>830</v>
      </c>
      <c r="J18" s="7" t="s">
        <v>845</v>
      </c>
    </row>
    <row r="19" spans="1:10" ht="109.2">
      <c r="A19" s="4" t="s">
        <v>119</v>
      </c>
      <c r="B19" s="1" t="s">
        <v>339</v>
      </c>
      <c r="C19" t="s">
        <v>826</v>
      </c>
      <c r="D19" s="1" t="s">
        <v>847</v>
      </c>
      <c r="E19" s="1" t="s">
        <v>438</v>
      </c>
      <c r="F19" t="s">
        <v>826</v>
      </c>
      <c r="G19" s="1" t="s">
        <v>847</v>
      </c>
      <c r="H19" s="7" t="s">
        <v>746</v>
      </c>
      <c r="I19" s="7" t="s">
        <v>830</v>
      </c>
      <c r="J19" s="7" t="s">
        <v>845</v>
      </c>
    </row>
    <row r="20" spans="1:10" ht="62.4">
      <c r="A20" s="4" t="s">
        <v>120</v>
      </c>
      <c r="B20" s="1" t="s">
        <v>340</v>
      </c>
      <c r="C20" t="s">
        <v>826</v>
      </c>
      <c r="D20" s="1" t="s">
        <v>846</v>
      </c>
      <c r="E20" s="1" t="s">
        <v>439</v>
      </c>
      <c r="F20" s="7" t="s">
        <v>830</v>
      </c>
      <c r="G20" s="1" t="s">
        <v>845</v>
      </c>
      <c r="H20" s="7" t="s">
        <v>747</v>
      </c>
      <c r="I20" s="7" t="s">
        <v>830</v>
      </c>
      <c r="J20" s="7" t="s">
        <v>847</v>
      </c>
    </row>
    <row r="21" spans="1:10" ht="62.4">
      <c r="A21" s="4" t="s">
        <v>121</v>
      </c>
      <c r="B21" s="1" t="s">
        <v>341</v>
      </c>
      <c r="C21" t="s">
        <v>826</v>
      </c>
      <c r="D21" s="1" t="s">
        <v>846</v>
      </c>
      <c r="E21" s="1" t="s">
        <v>440</v>
      </c>
      <c r="F21" s="1" t="s">
        <v>827</v>
      </c>
      <c r="G21" s="1" t="s">
        <v>845</v>
      </c>
      <c r="H21" s="7" t="s">
        <v>748</v>
      </c>
      <c r="I21" s="7" t="s">
        <v>830</v>
      </c>
      <c r="J21" s="7" t="s">
        <v>847</v>
      </c>
    </row>
    <row r="22" spans="1:10" ht="93.6">
      <c r="A22" s="4" t="s">
        <v>122</v>
      </c>
      <c r="B22" s="1" t="s">
        <v>342</v>
      </c>
      <c r="C22" t="s">
        <v>826</v>
      </c>
      <c r="D22" s="1" t="s">
        <v>846</v>
      </c>
      <c r="E22" s="1" t="s">
        <v>441</v>
      </c>
      <c r="F22" s="1" t="s">
        <v>827</v>
      </c>
      <c r="G22" s="1" t="s">
        <v>845</v>
      </c>
      <c r="H22" s="7" t="s">
        <v>749</v>
      </c>
      <c r="I22" s="7" t="s">
        <v>830</v>
      </c>
      <c r="J22" s="7" t="s">
        <v>845</v>
      </c>
    </row>
    <row r="23" spans="1:10" ht="62.4">
      <c r="A23" s="4" t="s">
        <v>123</v>
      </c>
      <c r="B23" s="1" t="s">
        <v>343</v>
      </c>
      <c r="C23" t="s">
        <v>826</v>
      </c>
      <c r="D23" s="1" t="s">
        <v>846</v>
      </c>
      <c r="E23" s="1" t="s">
        <v>442</v>
      </c>
      <c r="F23" s="1" t="s">
        <v>827</v>
      </c>
      <c r="G23" s="1" t="s">
        <v>845</v>
      </c>
      <c r="H23" s="7" t="s">
        <v>750</v>
      </c>
      <c r="I23" s="7" t="s">
        <v>830</v>
      </c>
      <c r="J23" s="7" t="s">
        <v>845</v>
      </c>
    </row>
    <row r="24" spans="1:10" ht="93.6">
      <c r="A24" s="4" t="s">
        <v>124</v>
      </c>
      <c r="B24" s="1" t="s">
        <v>344</v>
      </c>
      <c r="C24" s="1" t="s">
        <v>827</v>
      </c>
      <c r="D24" s="1" t="s">
        <v>845</v>
      </c>
      <c r="E24" s="1" t="s">
        <v>443</v>
      </c>
      <c r="F24" s="1" t="s">
        <v>827</v>
      </c>
      <c r="G24" s="1" t="s">
        <v>845</v>
      </c>
      <c r="H24" s="7" t="s">
        <v>751</v>
      </c>
      <c r="I24" s="7" t="s">
        <v>830</v>
      </c>
      <c r="J24" s="7" t="s">
        <v>845</v>
      </c>
    </row>
    <row r="25" spans="1:10" ht="78">
      <c r="A25" s="4" t="s">
        <v>125</v>
      </c>
      <c r="B25" s="1" t="s">
        <v>345</v>
      </c>
      <c r="C25" t="s">
        <v>826</v>
      </c>
      <c r="D25" s="1" t="s">
        <v>846</v>
      </c>
      <c r="E25" s="1" t="s">
        <v>444</v>
      </c>
      <c r="F25" t="s">
        <v>826</v>
      </c>
      <c r="G25" s="1" t="s">
        <v>847</v>
      </c>
      <c r="H25" s="7" t="s">
        <v>752</v>
      </c>
      <c r="I25" s="7" t="s">
        <v>830</v>
      </c>
      <c r="J25" s="7" t="s">
        <v>845</v>
      </c>
    </row>
    <row r="26" spans="1:10" ht="124.8">
      <c r="A26" s="4" t="s">
        <v>126</v>
      </c>
      <c r="B26" s="1" t="s">
        <v>346</v>
      </c>
      <c r="C26" t="s">
        <v>826</v>
      </c>
      <c r="D26" s="1" t="s">
        <v>846</v>
      </c>
      <c r="E26" s="1" t="s">
        <v>445</v>
      </c>
      <c r="F26" s="1" t="s">
        <v>827</v>
      </c>
      <c r="G26" s="1" t="s">
        <v>845</v>
      </c>
      <c r="H26" s="7" t="s">
        <v>753</v>
      </c>
      <c r="I26" s="7" t="s">
        <v>830</v>
      </c>
      <c r="J26" s="7" t="s">
        <v>845</v>
      </c>
    </row>
    <row r="27" spans="1:10" ht="78">
      <c r="A27" s="4" t="s">
        <v>127</v>
      </c>
      <c r="B27" s="1" t="s">
        <v>347</v>
      </c>
      <c r="C27" s="1" t="s">
        <v>827</v>
      </c>
      <c r="D27" s="1" t="s">
        <v>845</v>
      </c>
      <c r="E27" s="1" t="s">
        <v>446</v>
      </c>
      <c r="F27" s="1" t="s">
        <v>827</v>
      </c>
      <c r="G27" s="1" t="s">
        <v>845</v>
      </c>
      <c r="H27" s="7" t="s">
        <v>754</v>
      </c>
      <c r="I27" s="7" t="s">
        <v>830</v>
      </c>
      <c r="J27" s="7" t="s">
        <v>847</v>
      </c>
    </row>
    <row r="28" spans="1:10" ht="109.2">
      <c r="A28" s="4" t="s">
        <v>128</v>
      </c>
      <c r="B28" s="1" t="s">
        <v>348</v>
      </c>
      <c r="C28" t="s">
        <v>826</v>
      </c>
      <c r="D28" s="1" t="s">
        <v>846</v>
      </c>
      <c r="E28" s="1" t="s">
        <v>447</v>
      </c>
      <c r="F28" s="1" t="s">
        <v>827</v>
      </c>
      <c r="G28" s="1" t="s">
        <v>845</v>
      </c>
      <c r="H28" s="7" t="s">
        <v>755</v>
      </c>
      <c r="I28" s="7" t="s">
        <v>830</v>
      </c>
      <c r="J28" s="7" t="s">
        <v>845</v>
      </c>
    </row>
    <row r="29" spans="1:10" ht="93.6">
      <c r="A29" s="4" t="s">
        <v>129</v>
      </c>
      <c r="B29" s="1" t="s">
        <v>349</v>
      </c>
      <c r="C29" t="s">
        <v>826</v>
      </c>
      <c r="D29" s="1" t="s">
        <v>847</v>
      </c>
      <c r="E29" s="1" t="s">
        <v>448</v>
      </c>
      <c r="F29" s="1" t="s">
        <v>827</v>
      </c>
      <c r="G29" s="1" t="s">
        <v>845</v>
      </c>
      <c r="H29" s="7" t="s">
        <v>756</v>
      </c>
      <c r="I29" s="7" t="s">
        <v>830</v>
      </c>
      <c r="J29" s="7" t="s">
        <v>845</v>
      </c>
    </row>
    <row r="30" spans="1:10" ht="62.4">
      <c r="A30" s="4" t="s">
        <v>130</v>
      </c>
      <c r="B30" s="1" t="s">
        <v>350</v>
      </c>
      <c r="C30" t="s">
        <v>826</v>
      </c>
      <c r="D30" s="1" t="s">
        <v>847</v>
      </c>
      <c r="E30" s="1" t="s">
        <v>449</v>
      </c>
      <c r="F30" t="s">
        <v>826</v>
      </c>
      <c r="G30" s="1" t="s">
        <v>847</v>
      </c>
      <c r="H30" s="7" t="s">
        <v>757</v>
      </c>
      <c r="I30" s="7" t="s">
        <v>830</v>
      </c>
      <c r="J30" s="7" t="s">
        <v>847</v>
      </c>
    </row>
    <row r="31" spans="1:10" ht="78">
      <c r="A31" s="4" t="s">
        <v>131</v>
      </c>
      <c r="B31" s="1" t="s">
        <v>351</v>
      </c>
      <c r="C31" s="1" t="s">
        <v>826</v>
      </c>
      <c r="D31" s="1" t="s">
        <v>847</v>
      </c>
      <c r="E31" s="1" t="s">
        <v>450</v>
      </c>
      <c r="F31" s="1" t="s">
        <v>827</v>
      </c>
      <c r="G31" s="1" t="s">
        <v>845</v>
      </c>
      <c r="H31" s="7" t="s">
        <v>758</v>
      </c>
      <c r="I31" s="7" t="s">
        <v>830</v>
      </c>
      <c r="J31" s="7" t="s">
        <v>845</v>
      </c>
    </row>
    <row r="32" spans="1:10" ht="62.4">
      <c r="A32" s="4" t="s">
        <v>132</v>
      </c>
      <c r="B32" s="1" t="s">
        <v>352</v>
      </c>
      <c r="C32" s="1" t="s">
        <v>826</v>
      </c>
      <c r="D32" s="1" t="s">
        <v>846</v>
      </c>
      <c r="E32" s="1" t="s">
        <v>451</v>
      </c>
      <c r="F32" s="1" t="s">
        <v>827</v>
      </c>
      <c r="G32" s="1" t="s">
        <v>845</v>
      </c>
      <c r="H32" s="7" t="s">
        <v>759</v>
      </c>
      <c r="I32" s="7" t="s">
        <v>830</v>
      </c>
      <c r="J32" s="7" t="s">
        <v>845</v>
      </c>
    </row>
    <row r="33" spans="1:10" ht="78">
      <c r="A33" s="4" t="s">
        <v>133</v>
      </c>
      <c r="B33" s="1" t="s">
        <v>353</v>
      </c>
      <c r="C33" s="1" t="s">
        <v>826</v>
      </c>
      <c r="D33" s="1" t="s">
        <v>846</v>
      </c>
      <c r="E33" s="1" t="s">
        <v>452</v>
      </c>
      <c r="F33" s="1" t="s">
        <v>827</v>
      </c>
      <c r="G33" s="1" t="s">
        <v>845</v>
      </c>
      <c r="H33" s="7" t="s">
        <v>760</v>
      </c>
      <c r="I33" s="7" t="s">
        <v>830</v>
      </c>
      <c r="J33" s="7" t="s">
        <v>845</v>
      </c>
    </row>
    <row r="34" spans="1:10" ht="93.6">
      <c r="A34" s="4" t="s">
        <v>134</v>
      </c>
      <c r="B34" s="1" t="s">
        <v>354</v>
      </c>
      <c r="C34" s="1" t="s">
        <v>826</v>
      </c>
      <c r="D34" s="1" t="s">
        <v>846</v>
      </c>
      <c r="E34" s="1" t="s">
        <v>453</v>
      </c>
      <c r="F34" t="s">
        <v>826</v>
      </c>
      <c r="G34" s="1" t="s">
        <v>846</v>
      </c>
      <c r="H34" s="7" t="s">
        <v>761</v>
      </c>
      <c r="I34" s="7" t="s">
        <v>830</v>
      </c>
      <c r="J34" s="7" t="s">
        <v>845</v>
      </c>
    </row>
    <row r="35" spans="1:10" ht="78">
      <c r="A35" s="4" t="s">
        <v>135</v>
      </c>
      <c r="B35" s="1" t="s">
        <v>355</v>
      </c>
      <c r="C35" t="s">
        <v>826</v>
      </c>
      <c r="D35" s="1" t="s">
        <v>846</v>
      </c>
      <c r="E35" s="1" t="s">
        <v>454</v>
      </c>
      <c r="F35" s="1" t="s">
        <v>827</v>
      </c>
      <c r="G35" s="1" t="s">
        <v>845</v>
      </c>
      <c r="H35" s="7" t="s">
        <v>762</v>
      </c>
      <c r="I35" s="7" t="s">
        <v>830</v>
      </c>
      <c r="J35" s="7" t="s">
        <v>845</v>
      </c>
    </row>
    <row r="36" spans="1:10" ht="93.6">
      <c r="A36" s="4" t="s">
        <v>136</v>
      </c>
      <c r="B36" s="1" t="s">
        <v>356</v>
      </c>
      <c r="C36" t="s">
        <v>826</v>
      </c>
      <c r="D36" s="1" t="s">
        <v>846</v>
      </c>
      <c r="E36" s="1" t="s">
        <v>455</v>
      </c>
      <c r="F36" s="1" t="s">
        <v>827</v>
      </c>
      <c r="G36" s="1" t="s">
        <v>845</v>
      </c>
      <c r="H36" s="7" t="s">
        <v>763</v>
      </c>
      <c r="I36" s="7" t="s">
        <v>830</v>
      </c>
      <c r="J36" s="7" t="s">
        <v>845</v>
      </c>
    </row>
    <row r="37" spans="1:10" ht="93.6">
      <c r="A37" s="4" t="s">
        <v>137</v>
      </c>
      <c r="B37" s="1" t="s">
        <v>357</v>
      </c>
      <c r="C37" t="s">
        <v>826</v>
      </c>
      <c r="D37" s="1" t="s">
        <v>846</v>
      </c>
      <c r="E37" s="1" t="s">
        <v>456</v>
      </c>
      <c r="F37" s="1" t="s">
        <v>827</v>
      </c>
      <c r="G37" s="1" t="s">
        <v>845</v>
      </c>
      <c r="H37" s="7" t="s">
        <v>764</v>
      </c>
      <c r="I37" s="7" t="s">
        <v>830</v>
      </c>
      <c r="J37" s="7" t="s">
        <v>845</v>
      </c>
    </row>
    <row r="38" spans="1:10" ht="109.2">
      <c r="A38" s="4" t="s">
        <v>138</v>
      </c>
      <c r="B38" s="1" t="s">
        <v>358</v>
      </c>
      <c r="C38" t="s">
        <v>826</v>
      </c>
      <c r="D38" s="1" t="s">
        <v>847</v>
      </c>
      <c r="E38" s="1" t="s">
        <v>457</v>
      </c>
      <c r="F38" s="1" t="s">
        <v>827</v>
      </c>
      <c r="G38" s="1" t="s">
        <v>845</v>
      </c>
      <c r="H38" s="7" t="s">
        <v>765</v>
      </c>
      <c r="I38" s="7" t="s">
        <v>830</v>
      </c>
      <c r="J38" s="7" t="s">
        <v>845</v>
      </c>
    </row>
    <row r="39" spans="1:10" ht="62.4">
      <c r="A39" s="4" t="s">
        <v>139</v>
      </c>
      <c r="B39" s="1" t="s">
        <v>359</v>
      </c>
      <c r="C39" t="s">
        <v>826</v>
      </c>
      <c r="D39" s="1" t="s">
        <v>847</v>
      </c>
      <c r="E39" s="1" t="s">
        <v>458</v>
      </c>
      <c r="F39" s="1" t="s">
        <v>827</v>
      </c>
      <c r="G39" s="1" t="s">
        <v>845</v>
      </c>
      <c r="H39" s="7" t="s">
        <v>766</v>
      </c>
      <c r="I39" s="7" t="s">
        <v>830</v>
      </c>
      <c r="J39" s="7" t="s">
        <v>845</v>
      </c>
    </row>
    <row r="40" spans="1:10" ht="78">
      <c r="A40" s="4" t="s">
        <v>140</v>
      </c>
      <c r="B40" s="1" t="s">
        <v>360</v>
      </c>
      <c r="C40" t="s">
        <v>826</v>
      </c>
      <c r="D40" s="1" t="s">
        <v>847</v>
      </c>
      <c r="E40" s="1" t="s">
        <v>459</v>
      </c>
      <c r="F40" s="1" t="s">
        <v>827</v>
      </c>
      <c r="G40" s="1" t="s">
        <v>845</v>
      </c>
      <c r="H40" s="7" t="s">
        <v>767</v>
      </c>
      <c r="I40" s="7" t="s">
        <v>830</v>
      </c>
      <c r="J40" s="7" t="s">
        <v>847</v>
      </c>
    </row>
    <row r="41" spans="1:10" ht="78">
      <c r="A41" s="4" t="s">
        <v>141</v>
      </c>
      <c r="B41" s="1" t="s">
        <v>361</v>
      </c>
      <c r="C41" s="1" t="s">
        <v>826</v>
      </c>
      <c r="D41" s="1" t="s">
        <v>846</v>
      </c>
      <c r="E41" s="1" t="s">
        <v>460</v>
      </c>
      <c r="F41" s="1" t="s">
        <v>826</v>
      </c>
      <c r="G41" s="1" t="s">
        <v>846</v>
      </c>
      <c r="H41" s="7" t="s">
        <v>768</v>
      </c>
      <c r="I41" s="7" t="s">
        <v>830</v>
      </c>
      <c r="J41" s="7" t="s">
        <v>845</v>
      </c>
    </row>
    <row r="42" spans="1:10" ht="93.6">
      <c r="A42" s="4" t="s">
        <v>142</v>
      </c>
      <c r="B42" s="1" t="s">
        <v>362</v>
      </c>
      <c r="C42" s="1" t="s">
        <v>826</v>
      </c>
      <c r="D42" s="1" t="s">
        <v>845</v>
      </c>
      <c r="E42" s="1" t="s">
        <v>461</v>
      </c>
      <c r="F42" s="1" t="s">
        <v>826</v>
      </c>
      <c r="G42" s="1" t="s">
        <v>847</v>
      </c>
      <c r="H42" s="7" t="s">
        <v>769</v>
      </c>
      <c r="I42" s="7" t="s">
        <v>830</v>
      </c>
      <c r="J42" s="7" t="s">
        <v>845</v>
      </c>
    </row>
    <row r="43" spans="1:10" ht="124.8">
      <c r="A43" s="4" t="s">
        <v>143</v>
      </c>
      <c r="B43" s="1" t="s">
        <v>363</v>
      </c>
      <c r="C43" s="1" t="s">
        <v>826</v>
      </c>
      <c r="D43" s="1" t="s">
        <v>847</v>
      </c>
      <c r="E43" s="1" t="s">
        <v>462</v>
      </c>
      <c r="F43" s="1" t="s">
        <v>827</v>
      </c>
      <c r="G43" s="1" t="s">
        <v>845</v>
      </c>
      <c r="H43" s="7" t="s">
        <v>770</v>
      </c>
      <c r="I43" s="7" t="s">
        <v>830</v>
      </c>
      <c r="J43" s="7" t="s">
        <v>845</v>
      </c>
    </row>
    <row r="44" spans="1:10" ht="109.2">
      <c r="A44" s="4" t="s">
        <v>144</v>
      </c>
      <c r="B44" s="1" t="s">
        <v>364</v>
      </c>
      <c r="C44" s="1" t="s">
        <v>827</v>
      </c>
      <c r="D44" s="1" t="s">
        <v>845</v>
      </c>
      <c r="E44" s="1" t="s">
        <v>463</v>
      </c>
      <c r="F44" s="1" t="s">
        <v>827</v>
      </c>
      <c r="G44" s="1" t="s">
        <v>845</v>
      </c>
      <c r="H44" s="7" t="s">
        <v>771</v>
      </c>
      <c r="I44" s="7" t="s">
        <v>830</v>
      </c>
      <c r="J44" s="7" t="s">
        <v>845</v>
      </c>
    </row>
    <row r="45" spans="1:10" ht="62.4">
      <c r="A45" s="4" t="s">
        <v>145</v>
      </c>
      <c r="B45" s="1" t="s">
        <v>365</v>
      </c>
      <c r="C45" s="1" t="s">
        <v>826</v>
      </c>
      <c r="D45" s="1" t="s">
        <v>846</v>
      </c>
      <c r="E45" s="1" t="s">
        <v>464</v>
      </c>
      <c r="F45" s="1" t="s">
        <v>827</v>
      </c>
      <c r="G45" s="1" t="s">
        <v>845</v>
      </c>
      <c r="H45" s="7" t="s">
        <v>772</v>
      </c>
      <c r="I45" s="7" t="s">
        <v>830</v>
      </c>
      <c r="J45" s="7" t="s">
        <v>845</v>
      </c>
    </row>
    <row r="46" spans="1:10" ht="93.6">
      <c r="A46" s="4" t="s">
        <v>146</v>
      </c>
      <c r="B46" s="1" t="s">
        <v>366</v>
      </c>
      <c r="C46" s="1" t="s">
        <v>826</v>
      </c>
      <c r="D46" s="1" t="s">
        <v>846</v>
      </c>
      <c r="E46" s="1" t="s">
        <v>465</v>
      </c>
      <c r="F46" s="1" t="s">
        <v>826</v>
      </c>
      <c r="G46" s="1" t="s">
        <v>846</v>
      </c>
      <c r="H46" s="7" t="s">
        <v>773</v>
      </c>
      <c r="I46" s="7" t="s">
        <v>830</v>
      </c>
      <c r="J46" s="7" t="s">
        <v>845</v>
      </c>
    </row>
    <row r="47" spans="1:10" ht="109.2">
      <c r="A47" s="4" t="s">
        <v>147</v>
      </c>
      <c r="B47" s="1" t="s">
        <v>367</v>
      </c>
      <c r="C47" s="1" t="s">
        <v>827</v>
      </c>
      <c r="D47" s="1" t="s">
        <v>845</v>
      </c>
      <c r="E47" s="1" t="s">
        <v>466</v>
      </c>
      <c r="F47" s="1" t="s">
        <v>827</v>
      </c>
      <c r="G47" s="1" t="s">
        <v>845</v>
      </c>
      <c r="H47" s="7" t="s">
        <v>774</v>
      </c>
      <c r="I47" s="7" t="s">
        <v>830</v>
      </c>
      <c r="J47" s="7" t="s">
        <v>845</v>
      </c>
    </row>
    <row r="48" spans="1:10" ht="93.6">
      <c r="A48" s="4" t="s">
        <v>148</v>
      </c>
      <c r="B48" s="1" t="s">
        <v>368</v>
      </c>
      <c r="C48" s="1" t="s">
        <v>827</v>
      </c>
      <c r="D48" s="1" t="s">
        <v>845</v>
      </c>
      <c r="E48" s="1" t="s">
        <v>467</v>
      </c>
      <c r="F48" s="1" t="s">
        <v>827</v>
      </c>
      <c r="G48" s="1" t="s">
        <v>845</v>
      </c>
      <c r="H48" s="7" t="s">
        <v>775</v>
      </c>
      <c r="I48" s="7" t="s">
        <v>830</v>
      </c>
      <c r="J48" s="7" t="s">
        <v>845</v>
      </c>
    </row>
    <row r="49" spans="1:10" ht="93.6">
      <c r="A49" s="4" t="s">
        <v>149</v>
      </c>
      <c r="B49" s="1" t="s">
        <v>369</v>
      </c>
      <c r="C49" s="1" t="s">
        <v>826</v>
      </c>
      <c r="D49" s="1" t="s">
        <v>847</v>
      </c>
      <c r="E49" s="1" t="s">
        <v>468</v>
      </c>
      <c r="F49" s="1" t="s">
        <v>827</v>
      </c>
      <c r="G49" s="1" t="s">
        <v>845</v>
      </c>
      <c r="H49" s="7" t="s">
        <v>776</v>
      </c>
      <c r="I49" s="7" t="s">
        <v>830</v>
      </c>
      <c r="J49" s="7" t="s">
        <v>845</v>
      </c>
    </row>
    <row r="50" spans="1:10" ht="109.2">
      <c r="A50" s="4" t="s">
        <v>150</v>
      </c>
      <c r="B50" s="1" t="s">
        <v>370</v>
      </c>
      <c r="C50" s="1" t="s">
        <v>827</v>
      </c>
      <c r="D50" s="1" t="s">
        <v>845</v>
      </c>
      <c r="E50" s="1" t="s">
        <v>469</v>
      </c>
      <c r="F50" s="1" t="s">
        <v>827</v>
      </c>
      <c r="G50" s="1" t="s">
        <v>845</v>
      </c>
      <c r="H50" s="7" t="s">
        <v>777</v>
      </c>
      <c r="I50" s="7" t="s">
        <v>830</v>
      </c>
      <c r="J50" s="7" t="s">
        <v>845</v>
      </c>
    </row>
    <row r="51" spans="1:10" ht="78">
      <c r="A51" s="4" t="s">
        <v>151</v>
      </c>
      <c r="B51" s="1" t="s">
        <v>371</v>
      </c>
      <c r="C51" s="1" t="s">
        <v>826</v>
      </c>
      <c r="D51" s="1" t="s">
        <v>846</v>
      </c>
      <c r="E51" s="1" t="s">
        <v>470</v>
      </c>
      <c r="F51" s="1" t="s">
        <v>827</v>
      </c>
      <c r="G51" s="1" t="s">
        <v>845</v>
      </c>
      <c r="H51" s="7" t="s">
        <v>778</v>
      </c>
      <c r="I51" s="7" t="s">
        <v>830</v>
      </c>
      <c r="J51" s="7" t="s">
        <v>845</v>
      </c>
    </row>
    <row r="52" spans="1:10" ht="62.4">
      <c r="A52" s="4" t="s">
        <v>152</v>
      </c>
      <c r="B52" s="1" t="s">
        <v>372</v>
      </c>
      <c r="C52" s="1" t="s">
        <v>826</v>
      </c>
      <c r="D52" s="1" t="s">
        <v>846</v>
      </c>
      <c r="E52" s="1" t="s">
        <v>471</v>
      </c>
      <c r="F52" s="1" t="s">
        <v>827</v>
      </c>
      <c r="G52" s="1" t="s">
        <v>845</v>
      </c>
      <c r="H52" s="7" t="s">
        <v>472</v>
      </c>
      <c r="I52" s="1" t="s">
        <v>830</v>
      </c>
    </row>
    <row r="53" spans="1:10" ht="109.2">
      <c r="A53" s="4" t="s">
        <v>153</v>
      </c>
      <c r="B53" s="1" t="s">
        <v>373</v>
      </c>
      <c r="C53" s="1" t="s">
        <v>826</v>
      </c>
      <c r="D53" s="1" t="s">
        <v>847</v>
      </c>
      <c r="E53" s="1" t="s">
        <v>472</v>
      </c>
      <c r="F53" s="1" t="s">
        <v>830</v>
      </c>
      <c r="H53" s="7" t="s">
        <v>779</v>
      </c>
      <c r="I53" s="1" t="s">
        <v>830</v>
      </c>
      <c r="J53" s="7" t="s">
        <v>845</v>
      </c>
    </row>
    <row r="54" spans="1:10" ht="46.8">
      <c r="A54" s="4" t="s">
        <v>154</v>
      </c>
      <c r="B54" s="1" t="s">
        <v>374</v>
      </c>
      <c r="C54" s="1" t="s">
        <v>826</v>
      </c>
      <c r="D54" s="1" t="s">
        <v>847</v>
      </c>
      <c r="E54" s="1" t="s">
        <v>472</v>
      </c>
      <c r="F54" s="1" t="s">
        <v>830</v>
      </c>
      <c r="H54" s="7" t="s">
        <v>780</v>
      </c>
      <c r="I54" s="1" t="s">
        <v>830</v>
      </c>
      <c r="J54" s="7" t="s">
        <v>845</v>
      </c>
    </row>
    <row r="55" spans="1:10" ht="109.2">
      <c r="A55" s="4" t="s">
        <v>155</v>
      </c>
      <c r="B55" s="1" t="s">
        <v>375</v>
      </c>
      <c r="C55" s="1" t="s">
        <v>826</v>
      </c>
      <c r="D55" s="1" t="s">
        <v>846</v>
      </c>
      <c r="E55" s="1" t="s">
        <v>473</v>
      </c>
      <c r="F55" s="1" t="s">
        <v>827</v>
      </c>
      <c r="G55" s="1" t="s">
        <v>845</v>
      </c>
      <c r="H55" s="7" t="s">
        <v>781</v>
      </c>
      <c r="I55" s="1" t="s">
        <v>830</v>
      </c>
      <c r="J55" s="7" t="s">
        <v>845</v>
      </c>
    </row>
    <row r="56" spans="1:10" ht="124.8">
      <c r="A56" s="4" t="s">
        <v>156</v>
      </c>
      <c r="B56" s="1" t="s">
        <v>376</v>
      </c>
      <c r="C56" s="1" t="s">
        <v>826</v>
      </c>
      <c r="D56" s="1" t="s">
        <v>846</v>
      </c>
      <c r="E56" s="1" t="s">
        <v>474</v>
      </c>
      <c r="F56" s="1" t="s">
        <v>826</v>
      </c>
      <c r="G56" s="1" t="s">
        <v>847</v>
      </c>
      <c r="H56" s="7" t="s">
        <v>782</v>
      </c>
      <c r="I56" s="1" t="s">
        <v>830</v>
      </c>
      <c r="J56" s="7" t="s">
        <v>845</v>
      </c>
    </row>
    <row r="57" spans="1:10" ht="78">
      <c r="A57" s="4" t="s">
        <v>157</v>
      </c>
      <c r="B57" s="1" t="s">
        <v>361</v>
      </c>
      <c r="C57" s="1" t="s">
        <v>826</v>
      </c>
      <c r="D57" s="1" t="s">
        <v>846</v>
      </c>
      <c r="E57" s="1" t="s">
        <v>460</v>
      </c>
      <c r="F57" s="1" t="s">
        <v>826</v>
      </c>
      <c r="G57" s="1" t="s">
        <v>846</v>
      </c>
      <c r="H57" s="7" t="s">
        <v>783</v>
      </c>
      <c r="I57" s="1" t="s">
        <v>830</v>
      </c>
      <c r="J57" s="7" t="s">
        <v>845</v>
      </c>
    </row>
    <row r="58" spans="1:10" ht="109.2">
      <c r="A58" s="4" t="s">
        <v>158</v>
      </c>
      <c r="B58" s="1" t="s">
        <v>377</v>
      </c>
      <c r="C58" s="1" t="s">
        <v>826</v>
      </c>
      <c r="D58" s="1" t="s">
        <v>847</v>
      </c>
      <c r="E58" s="1" t="s">
        <v>475</v>
      </c>
      <c r="F58" s="1" t="s">
        <v>827</v>
      </c>
      <c r="G58" s="1" t="s">
        <v>845</v>
      </c>
      <c r="H58" s="7" t="s">
        <v>784</v>
      </c>
      <c r="I58" s="1" t="s">
        <v>830</v>
      </c>
      <c r="J58" s="7" t="s">
        <v>845</v>
      </c>
    </row>
    <row r="59" spans="1:10" ht="62.4">
      <c r="A59" s="4" t="s">
        <v>159</v>
      </c>
      <c r="B59" s="1" t="s">
        <v>378</v>
      </c>
      <c r="C59" s="1" t="s">
        <v>827</v>
      </c>
      <c r="D59" s="1" t="s">
        <v>845</v>
      </c>
      <c r="E59" s="1" t="s">
        <v>476</v>
      </c>
      <c r="F59" s="1" t="s">
        <v>826</v>
      </c>
      <c r="G59" s="1" t="s">
        <v>847</v>
      </c>
      <c r="H59" s="7" t="s">
        <v>785</v>
      </c>
      <c r="I59" s="1" t="s">
        <v>830</v>
      </c>
      <c r="J59" s="7" t="s">
        <v>847</v>
      </c>
    </row>
    <row r="60" spans="1:10" ht="124.8">
      <c r="A60" s="4" t="s">
        <v>160</v>
      </c>
      <c r="B60" s="1" t="s">
        <v>379</v>
      </c>
      <c r="C60" s="1" t="s">
        <v>826</v>
      </c>
      <c r="D60" s="1" t="s">
        <v>846</v>
      </c>
      <c r="E60" s="1" t="s">
        <v>477</v>
      </c>
      <c r="F60" s="1" t="s">
        <v>826</v>
      </c>
      <c r="G60" s="1" t="s">
        <v>846</v>
      </c>
      <c r="H60" s="7" t="s">
        <v>786</v>
      </c>
      <c r="I60" s="1" t="s">
        <v>830</v>
      </c>
      <c r="J60" s="7" t="s">
        <v>845</v>
      </c>
    </row>
    <row r="61" spans="1:10" ht="78">
      <c r="A61" s="4" t="s">
        <v>161</v>
      </c>
      <c r="B61" s="1" t="s">
        <v>380</v>
      </c>
      <c r="C61" s="1" t="s">
        <v>827</v>
      </c>
      <c r="D61" s="1" t="s">
        <v>845</v>
      </c>
      <c r="E61" s="1" t="s">
        <v>478</v>
      </c>
      <c r="F61" s="1" t="s">
        <v>827</v>
      </c>
      <c r="G61" s="1" t="s">
        <v>845</v>
      </c>
      <c r="H61" s="7" t="s">
        <v>787</v>
      </c>
      <c r="I61" s="1" t="s">
        <v>830</v>
      </c>
      <c r="J61" s="7" t="s">
        <v>845</v>
      </c>
    </row>
    <row r="62" spans="1:10" ht="93.6">
      <c r="A62" s="4" t="s">
        <v>162</v>
      </c>
      <c r="B62" s="1" t="s">
        <v>381</v>
      </c>
      <c r="C62" s="1" t="s">
        <v>827</v>
      </c>
      <c r="D62" s="1" t="s">
        <v>845</v>
      </c>
      <c r="E62" s="1" t="s">
        <v>479</v>
      </c>
      <c r="F62" s="1" t="s">
        <v>827</v>
      </c>
      <c r="G62" s="1" t="s">
        <v>845</v>
      </c>
      <c r="H62" s="7" t="s">
        <v>788</v>
      </c>
      <c r="I62" s="1" t="s">
        <v>830</v>
      </c>
      <c r="J62" s="7" t="s">
        <v>845</v>
      </c>
    </row>
    <row r="63" spans="1:10" ht="109.2">
      <c r="A63" s="4" t="s">
        <v>163</v>
      </c>
      <c r="B63" s="1" t="s">
        <v>382</v>
      </c>
      <c r="C63" s="1" t="s">
        <v>826</v>
      </c>
      <c r="D63" s="1" t="s">
        <v>847</v>
      </c>
      <c r="E63" s="1" t="s">
        <v>480</v>
      </c>
      <c r="F63" s="1" t="s">
        <v>826</v>
      </c>
      <c r="G63" s="1" t="s">
        <v>847</v>
      </c>
      <c r="H63" s="7" t="s">
        <v>789</v>
      </c>
      <c r="I63" s="1" t="s">
        <v>830</v>
      </c>
      <c r="J63" s="7" t="s">
        <v>845</v>
      </c>
    </row>
    <row r="64" spans="1:10" ht="93.6">
      <c r="A64" s="4" t="s">
        <v>164</v>
      </c>
      <c r="B64" s="1" t="s">
        <v>383</v>
      </c>
      <c r="C64" s="1" t="s">
        <v>826</v>
      </c>
      <c r="D64" s="1" t="s">
        <v>846</v>
      </c>
      <c r="E64" s="1" t="s">
        <v>481</v>
      </c>
      <c r="F64" s="1" t="s">
        <v>827</v>
      </c>
      <c r="G64" s="1" t="s">
        <v>845</v>
      </c>
      <c r="H64" s="7" t="s">
        <v>790</v>
      </c>
      <c r="I64" s="1" t="s">
        <v>830</v>
      </c>
      <c r="J64" s="7" t="s">
        <v>845</v>
      </c>
    </row>
    <row r="65" spans="1:10" ht="109.2">
      <c r="A65" s="4" t="s">
        <v>165</v>
      </c>
      <c r="B65" s="1" t="s">
        <v>384</v>
      </c>
      <c r="C65" s="1" t="s">
        <v>827</v>
      </c>
      <c r="D65" s="1" t="s">
        <v>845</v>
      </c>
      <c r="E65" s="1" t="s">
        <v>482</v>
      </c>
      <c r="F65" s="1" t="s">
        <v>826</v>
      </c>
      <c r="G65" s="1" t="s">
        <v>847</v>
      </c>
      <c r="H65" s="7" t="s">
        <v>791</v>
      </c>
      <c r="I65" s="1" t="s">
        <v>830</v>
      </c>
      <c r="J65" s="7" t="s">
        <v>845</v>
      </c>
    </row>
    <row r="66" spans="1:10" ht="62.4">
      <c r="A66" s="4" t="s">
        <v>166</v>
      </c>
      <c r="B66" s="1" t="s">
        <v>385</v>
      </c>
      <c r="C66" s="1" t="s">
        <v>826</v>
      </c>
      <c r="D66" s="1" t="s">
        <v>846</v>
      </c>
      <c r="E66" s="1" t="s">
        <v>483</v>
      </c>
      <c r="F66" s="1" t="s">
        <v>827</v>
      </c>
      <c r="G66" s="1" t="s">
        <v>845</v>
      </c>
      <c r="H66" s="7" t="s">
        <v>792</v>
      </c>
      <c r="I66" s="1" t="s">
        <v>830</v>
      </c>
      <c r="J66" s="7" t="s">
        <v>845</v>
      </c>
    </row>
    <row r="67" spans="1:10" ht="109.2">
      <c r="A67" s="4" t="s">
        <v>167</v>
      </c>
      <c r="B67" s="1" t="s">
        <v>386</v>
      </c>
      <c r="C67" s="1" t="s">
        <v>826</v>
      </c>
      <c r="D67" s="1" t="s">
        <v>847</v>
      </c>
      <c r="E67" s="1" t="s">
        <v>484</v>
      </c>
      <c r="F67" s="1" t="s">
        <v>826</v>
      </c>
      <c r="G67" s="1" t="s">
        <v>847</v>
      </c>
      <c r="H67" s="7" t="s">
        <v>793</v>
      </c>
      <c r="I67" s="1" t="s">
        <v>830</v>
      </c>
      <c r="J67" s="7" t="s">
        <v>845</v>
      </c>
    </row>
    <row r="68" spans="1:10" ht="93.6">
      <c r="A68" s="4" t="s">
        <v>168</v>
      </c>
      <c r="B68" s="1" t="s">
        <v>387</v>
      </c>
      <c r="C68" s="1" t="s">
        <v>826</v>
      </c>
      <c r="D68" s="1" t="s">
        <v>846</v>
      </c>
      <c r="E68" s="1" t="s">
        <v>485</v>
      </c>
      <c r="F68" s="1" t="s">
        <v>827</v>
      </c>
      <c r="G68" s="1" t="s">
        <v>845</v>
      </c>
      <c r="H68" s="7" t="s">
        <v>794</v>
      </c>
      <c r="I68" s="1" t="s">
        <v>830</v>
      </c>
      <c r="J68" s="7" t="s">
        <v>845</v>
      </c>
    </row>
    <row r="69" spans="1:10" ht="109.2">
      <c r="A69" s="4" t="s">
        <v>105</v>
      </c>
      <c r="B69" s="1" t="s">
        <v>326</v>
      </c>
      <c r="C69" s="1" t="s">
        <v>826</v>
      </c>
      <c r="D69" s="1" t="s">
        <v>846</v>
      </c>
      <c r="E69" s="1" t="s">
        <v>424</v>
      </c>
      <c r="F69" s="1" t="s">
        <v>827</v>
      </c>
      <c r="G69" s="1" t="s">
        <v>845</v>
      </c>
      <c r="H69" s="7" t="s">
        <v>795</v>
      </c>
      <c r="I69" s="1" t="s">
        <v>830</v>
      </c>
      <c r="J69" s="7" t="s">
        <v>845</v>
      </c>
    </row>
    <row r="70" spans="1:10" ht="124.8">
      <c r="A70" s="4" t="s">
        <v>169</v>
      </c>
      <c r="B70" s="1" t="s">
        <v>388</v>
      </c>
      <c r="C70" s="1" t="s">
        <v>827</v>
      </c>
      <c r="D70" s="1" t="s">
        <v>845</v>
      </c>
      <c r="E70" s="1" t="s">
        <v>486</v>
      </c>
      <c r="F70" s="1" t="s">
        <v>827</v>
      </c>
      <c r="G70" s="1" t="s">
        <v>845</v>
      </c>
      <c r="H70" s="7" t="s">
        <v>796</v>
      </c>
      <c r="I70" s="1" t="s">
        <v>830</v>
      </c>
      <c r="J70" s="7" t="s">
        <v>845</v>
      </c>
    </row>
    <row r="71" spans="1:10" ht="78">
      <c r="A71" s="4" t="s">
        <v>170</v>
      </c>
      <c r="B71" s="1" t="s">
        <v>389</v>
      </c>
      <c r="C71" s="1" t="s">
        <v>826</v>
      </c>
      <c r="D71" s="1" t="s">
        <v>847</v>
      </c>
      <c r="E71" s="1" t="s">
        <v>487</v>
      </c>
      <c r="F71" s="1" t="s">
        <v>827</v>
      </c>
      <c r="G71" s="1" t="s">
        <v>845</v>
      </c>
      <c r="H71" s="7" t="s">
        <v>797</v>
      </c>
      <c r="I71" s="1" t="s">
        <v>830</v>
      </c>
      <c r="J71" s="7" t="s">
        <v>845</v>
      </c>
    </row>
    <row r="72" spans="1:10" ht="109.2">
      <c r="A72" s="4" t="s">
        <v>171</v>
      </c>
      <c r="B72" s="1" t="s">
        <v>390</v>
      </c>
      <c r="C72" s="1" t="s">
        <v>826</v>
      </c>
      <c r="D72" s="1" t="s">
        <v>847</v>
      </c>
      <c r="E72" s="1" t="s">
        <v>472</v>
      </c>
      <c r="F72" s="1" t="s">
        <v>830</v>
      </c>
      <c r="H72" s="7" t="s">
        <v>798</v>
      </c>
      <c r="I72" s="1" t="s">
        <v>830</v>
      </c>
      <c r="J72" s="7" t="s">
        <v>845</v>
      </c>
    </row>
    <row r="73" spans="1:10" ht="62.4">
      <c r="A73" s="4" t="s">
        <v>172</v>
      </c>
      <c r="B73" s="1" t="s">
        <v>391</v>
      </c>
      <c r="C73" s="1" t="s">
        <v>826</v>
      </c>
      <c r="D73" s="1" t="s">
        <v>847</v>
      </c>
      <c r="E73" s="1" t="s">
        <v>488</v>
      </c>
      <c r="F73" s="1" t="s">
        <v>826</v>
      </c>
      <c r="G73" s="1" t="s">
        <v>847</v>
      </c>
      <c r="H73" s="7" t="s">
        <v>799</v>
      </c>
      <c r="I73" s="1" t="s">
        <v>830</v>
      </c>
      <c r="J73" s="7" t="s">
        <v>847</v>
      </c>
    </row>
    <row r="74" spans="1:10" ht="62.4">
      <c r="A74" s="4" t="s">
        <v>173</v>
      </c>
      <c r="B74" s="1" t="s">
        <v>392</v>
      </c>
      <c r="C74" s="1" t="s">
        <v>826</v>
      </c>
      <c r="D74" s="1" t="s">
        <v>846</v>
      </c>
      <c r="E74" s="1" t="s">
        <v>489</v>
      </c>
      <c r="F74" s="1" t="s">
        <v>827</v>
      </c>
      <c r="G74" s="1" t="s">
        <v>845</v>
      </c>
      <c r="H74" s="7" t="s">
        <v>800</v>
      </c>
      <c r="I74" s="1" t="s">
        <v>830</v>
      </c>
      <c r="J74" s="7" t="s">
        <v>847</v>
      </c>
    </row>
    <row r="75" spans="1:10" ht="78">
      <c r="A75" s="4" t="s">
        <v>174</v>
      </c>
      <c r="B75" s="1" t="s">
        <v>393</v>
      </c>
      <c r="C75" s="1" t="s">
        <v>826</v>
      </c>
      <c r="D75" s="1" t="s">
        <v>846</v>
      </c>
      <c r="E75" s="1" t="s">
        <v>490</v>
      </c>
      <c r="F75" s="1" t="s">
        <v>827</v>
      </c>
      <c r="G75" s="1" t="s">
        <v>845</v>
      </c>
      <c r="H75" s="7" t="s">
        <v>801</v>
      </c>
      <c r="I75" s="1" t="s">
        <v>830</v>
      </c>
      <c r="J75" s="7" t="s">
        <v>847</v>
      </c>
    </row>
    <row r="76" spans="1:10" ht="93.6">
      <c r="A76" s="4" t="s">
        <v>175</v>
      </c>
      <c r="B76" s="1" t="s">
        <v>394</v>
      </c>
      <c r="C76" s="1" t="s">
        <v>826</v>
      </c>
      <c r="D76" s="1" t="s">
        <v>846</v>
      </c>
      <c r="E76" s="1" t="s">
        <v>491</v>
      </c>
      <c r="F76" s="1" t="s">
        <v>827</v>
      </c>
      <c r="G76" s="1" t="s">
        <v>845</v>
      </c>
      <c r="H76" s="7" t="s">
        <v>802</v>
      </c>
      <c r="I76" s="1" t="s">
        <v>830</v>
      </c>
      <c r="J76" s="7" t="s">
        <v>845</v>
      </c>
    </row>
    <row r="77" spans="1:10" ht="93.6">
      <c r="A77" s="4" t="s">
        <v>176</v>
      </c>
      <c r="B77" s="1" t="s">
        <v>395</v>
      </c>
      <c r="C77" s="1" t="s">
        <v>826</v>
      </c>
      <c r="D77" s="1" t="s">
        <v>846</v>
      </c>
      <c r="E77" s="1" t="s">
        <v>492</v>
      </c>
      <c r="F77" s="1" t="s">
        <v>826</v>
      </c>
      <c r="G77" s="1" t="s">
        <v>846</v>
      </c>
      <c r="H77" s="7" t="s">
        <v>803</v>
      </c>
      <c r="I77" s="1" t="s">
        <v>830</v>
      </c>
      <c r="J77" s="7" t="s">
        <v>845</v>
      </c>
    </row>
    <row r="78" spans="1:10" ht="124.8">
      <c r="A78" s="4" t="s">
        <v>177</v>
      </c>
      <c r="B78" s="1" t="s">
        <v>396</v>
      </c>
      <c r="C78" s="1" t="s">
        <v>826</v>
      </c>
      <c r="D78" s="1" t="s">
        <v>847</v>
      </c>
      <c r="E78" s="1" t="s">
        <v>493</v>
      </c>
      <c r="F78" s="1" t="s">
        <v>827</v>
      </c>
      <c r="G78" s="1" t="s">
        <v>845</v>
      </c>
      <c r="H78" s="7" t="s">
        <v>804</v>
      </c>
      <c r="I78" s="1" t="s">
        <v>830</v>
      </c>
      <c r="J78" s="7" t="s">
        <v>845</v>
      </c>
    </row>
    <row r="79" spans="1:10" ht="78">
      <c r="A79" s="4" t="s">
        <v>178</v>
      </c>
      <c r="B79" s="1" t="s">
        <v>397</v>
      </c>
      <c r="C79" s="1" t="s">
        <v>826</v>
      </c>
      <c r="D79" s="1" t="s">
        <v>846</v>
      </c>
      <c r="E79" s="1" t="s">
        <v>494</v>
      </c>
      <c r="F79" s="1" t="s">
        <v>827</v>
      </c>
      <c r="G79" s="1" t="s">
        <v>845</v>
      </c>
      <c r="H79" s="7" t="s">
        <v>805</v>
      </c>
      <c r="I79" s="1" t="s">
        <v>830</v>
      </c>
      <c r="J79" s="7" t="s">
        <v>847</v>
      </c>
    </row>
    <row r="80" spans="1:10" ht="109.2">
      <c r="A80" s="4" t="s">
        <v>179</v>
      </c>
      <c r="B80" s="1" t="s">
        <v>398</v>
      </c>
      <c r="C80" s="1" t="s">
        <v>826</v>
      </c>
      <c r="D80" s="1" t="s">
        <v>847</v>
      </c>
      <c r="E80" s="1" t="s">
        <v>495</v>
      </c>
      <c r="F80" s="1" t="s">
        <v>827</v>
      </c>
      <c r="G80" s="1" t="s">
        <v>845</v>
      </c>
      <c r="H80" s="7" t="s">
        <v>806</v>
      </c>
      <c r="I80" s="1" t="s">
        <v>830</v>
      </c>
      <c r="J80" s="7" t="s">
        <v>845</v>
      </c>
    </row>
    <row r="81" spans="1:10" ht="93.6">
      <c r="A81" s="4" t="s">
        <v>180</v>
      </c>
      <c r="B81" s="1" t="s">
        <v>399</v>
      </c>
      <c r="C81" s="1" t="s">
        <v>826</v>
      </c>
      <c r="D81" s="1" t="s">
        <v>847</v>
      </c>
      <c r="E81" s="1" t="s">
        <v>496</v>
      </c>
      <c r="F81" s="1" t="s">
        <v>827</v>
      </c>
      <c r="G81" s="1" t="s">
        <v>845</v>
      </c>
      <c r="H81" s="7" t="s">
        <v>807</v>
      </c>
      <c r="I81" s="1" t="s">
        <v>830</v>
      </c>
      <c r="J81" s="7" t="s">
        <v>847</v>
      </c>
    </row>
    <row r="82" spans="1:10" ht="93.6">
      <c r="A82" s="4" t="s">
        <v>181</v>
      </c>
      <c r="B82" s="1" t="s">
        <v>400</v>
      </c>
      <c r="C82" s="1" t="s">
        <v>826</v>
      </c>
      <c r="D82" s="1" t="s">
        <v>847</v>
      </c>
      <c r="E82" s="1" t="s">
        <v>497</v>
      </c>
      <c r="F82" s="1" t="s">
        <v>827</v>
      </c>
      <c r="G82" s="1" t="s">
        <v>845</v>
      </c>
      <c r="H82" s="7" t="s">
        <v>808</v>
      </c>
      <c r="I82" s="1" t="s">
        <v>830</v>
      </c>
      <c r="J82" s="7" t="s">
        <v>846</v>
      </c>
    </row>
    <row r="83" spans="1:10" ht="78">
      <c r="A83" s="4" t="s">
        <v>182</v>
      </c>
      <c r="B83" s="1" t="s">
        <v>401</v>
      </c>
      <c r="C83" s="1" t="s">
        <v>826</v>
      </c>
      <c r="D83" s="1" t="s">
        <v>847</v>
      </c>
      <c r="E83" s="1" t="s">
        <v>498</v>
      </c>
      <c r="F83" s="1" t="s">
        <v>827</v>
      </c>
      <c r="G83" s="1" t="s">
        <v>845</v>
      </c>
      <c r="H83" s="7" t="s">
        <v>809</v>
      </c>
      <c r="I83" s="1" t="s">
        <v>830</v>
      </c>
      <c r="J83" s="7" t="s">
        <v>847</v>
      </c>
    </row>
    <row r="84" spans="1:10" ht="46.8">
      <c r="A84" s="4" t="s">
        <v>183</v>
      </c>
      <c r="B84" s="1" t="s">
        <v>402</v>
      </c>
      <c r="C84" s="1" t="s">
        <v>827</v>
      </c>
      <c r="D84" s="1" t="s">
        <v>845</v>
      </c>
      <c r="E84" s="1" t="s">
        <v>499</v>
      </c>
      <c r="F84" s="1" t="s">
        <v>827</v>
      </c>
      <c r="G84" s="1" t="s">
        <v>845</v>
      </c>
      <c r="H84" s="7" t="s">
        <v>810</v>
      </c>
      <c r="I84" s="1" t="s">
        <v>830</v>
      </c>
      <c r="J84" s="7" t="s">
        <v>845</v>
      </c>
    </row>
    <row r="85" spans="1:10" ht="62.4">
      <c r="A85" s="4" t="s">
        <v>184</v>
      </c>
      <c r="B85" s="1" t="s">
        <v>403</v>
      </c>
      <c r="C85" s="1" t="s">
        <v>827</v>
      </c>
      <c r="D85" s="1" t="s">
        <v>845</v>
      </c>
      <c r="E85" s="1" t="s">
        <v>500</v>
      </c>
      <c r="F85" s="1" t="s">
        <v>827</v>
      </c>
      <c r="G85" s="1" t="s">
        <v>845</v>
      </c>
      <c r="H85" s="7" t="s">
        <v>811</v>
      </c>
      <c r="I85" s="1" t="s">
        <v>830</v>
      </c>
      <c r="J85" s="7" t="s">
        <v>845</v>
      </c>
    </row>
    <row r="86" spans="1:10" ht="62.4">
      <c r="A86" s="4" t="s">
        <v>185</v>
      </c>
      <c r="B86" s="1" t="s">
        <v>404</v>
      </c>
      <c r="C86" s="1" t="s">
        <v>827</v>
      </c>
      <c r="D86" s="1" t="s">
        <v>845</v>
      </c>
      <c r="E86" s="1" t="s">
        <v>501</v>
      </c>
      <c r="F86" s="1" t="s">
        <v>827</v>
      </c>
      <c r="G86" s="1" t="s">
        <v>845</v>
      </c>
      <c r="H86" s="7" t="s">
        <v>812</v>
      </c>
      <c r="I86" s="1" t="s">
        <v>830</v>
      </c>
      <c r="J86" s="7" t="s">
        <v>845</v>
      </c>
    </row>
    <row r="87" spans="1:10" ht="62.4">
      <c r="A87" s="4" t="s">
        <v>186</v>
      </c>
      <c r="B87" s="1" t="s">
        <v>405</v>
      </c>
      <c r="C87" s="1" t="s">
        <v>826</v>
      </c>
      <c r="D87" s="1" t="s">
        <v>846</v>
      </c>
      <c r="E87" s="1" t="s">
        <v>502</v>
      </c>
      <c r="F87" s="1" t="s">
        <v>827</v>
      </c>
      <c r="G87" s="1" t="s">
        <v>845</v>
      </c>
      <c r="H87" s="7" t="s">
        <v>813</v>
      </c>
      <c r="I87" s="1" t="s">
        <v>830</v>
      </c>
      <c r="J87" s="7" t="s">
        <v>847</v>
      </c>
    </row>
    <row r="88" spans="1:10" ht="78">
      <c r="A88" s="4" t="s">
        <v>187</v>
      </c>
      <c r="B88" s="1" t="s">
        <v>406</v>
      </c>
      <c r="C88" s="1" t="s">
        <v>826</v>
      </c>
      <c r="D88" s="1" t="s">
        <v>846</v>
      </c>
      <c r="E88" s="1" t="s">
        <v>503</v>
      </c>
      <c r="F88" s="1" t="s">
        <v>827</v>
      </c>
      <c r="G88" s="1" t="s">
        <v>845</v>
      </c>
      <c r="H88" s="7" t="s">
        <v>814</v>
      </c>
      <c r="I88" s="1" t="s">
        <v>830</v>
      </c>
      <c r="J88" s="7" t="s">
        <v>847</v>
      </c>
    </row>
    <row r="89" spans="1:10" ht="93.6">
      <c r="A89" s="4" t="s">
        <v>188</v>
      </c>
      <c r="B89" s="1" t="s">
        <v>407</v>
      </c>
      <c r="C89" s="1" t="s">
        <v>826</v>
      </c>
      <c r="D89" s="1" t="s">
        <v>847</v>
      </c>
      <c r="E89" s="1" t="s">
        <v>504</v>
      </c>
      <c r="F89" s="1" t="s">
        <v>827</v>
      </c>
      <c r="G89" s="1" t="s">
        <v>845</v>
      </c>
      <c r="H89" s="7" t="s">
        <v>815</v>
      </c>
      <c r="I89" s="1" t="s">
        <v>830</v>
      </c>
      <c r="J89" s="7" t="s">
        <v>845</v>
      </c>
    </row>
    <row r="90" spans="1:10" ht="109.2">
      <c r="A90" s="4" t="s">
        <v>189</v>
      </c>
      <c r="B90" s="1" t="s">
        <v>408</v>
      </c>
      <c r="C90" s="1" t="s">
        <v>827</v>
      </c>
      <c r="D90" s="1" t="s">
        <v>845</v>
      </c>
      <c r="E90" s="1" t="s">
        <v>505</v>
      </c>
      <c r="F90" s="1" t="s">
        <v>827</v>
      </c>
      <c r="G90" s="1" t="s">
        <v>845</v>
      </c>
      <c r="H90" s="7" t="s">
        <v>813</v>
      </c>
      <c r="I90" s="1" t="s">
        <v>830</v>
      </c>
      <c r="J90" s="7" t="s">
        <v>847</v>
      </c>
    </row>
    <row r="91" spans="1:10" ht="78">
      <c r="A91" s="4" t="s">
        <v>190</v>
      </c>
      <c r="B91" s="1" t="s">
        <v>409</v>
      </c>
      <c r="C91" s="1" t="s">
        <v>826</v>
      </c>
      <c r="D91" s="1" t="s">
        <v>846</v>
      </c>
      <c r="E91" s="1" t="s">
        <v>506</v>
      </c>
      <c r="F91" s="1" t="s">
        <v>827</v>
      </c>
      <c r="G91" s="1" t="s">
        <v>845</v>
      </c>
      <c r="H91" s="7" t="s">
        <v>816</v>
      </c>
      <c r="I91" s="1" t="s">
        <v>830</v>
      </c>
      <c r="J91" s="7" t="s">
        <v>847</v>
      </c>
    </row>
    <row r="92" spans="1:10" ht="78">
      <c r="A92" s="4" t="s">
        <v>191</v>
      </c>
      <c r="B92" s="1" t="s">
        <v>410</v>
      </c>
      <c r="C92" s="1" t="s">
        <v>826</v>
      </c>
      <c r="D92" s="1" t="s">
        <v>845</v>
      </c>
      <c r="E92" s="1" t="s">
        <v>507</v>
      </c>
      <c r="F92" s="1" t="s">
        <v>826</v>
      </c>
      <c r="G92" s="1" t="s">
        <v>847</v>
      </c>
      <c r="H92" s="7" t="s">
        <v>817</v>
      </c>
      <c r="I92" s="1" t="s">
        <v>830</v>
      </c>
      <c r="J92" s="7" t="s">
        <v>847</v>
      </c>
    </row>
    <row r="93" spans="1:10" ht="78">
      <c r="A93" s="4" t="s">
        <v>192</v>
      </c>
      <c r="B93" s="1" t="s">
        <v>411</v>
      </c>
      <c r="C93" s="1" t="s">
        <v>827</v>
      </c>
      <c r="D93" s="1" t="s">
        <v>845</v>
      </c>
      <c r="E93" s="1" t="s">
        <v>508</v>
      </c>
      <c r="F93" s="1" t="s">
        <v>827</v>
      </c>
      <c r="G93" s="1" t="s">
        <v>845</v>
      </c>
      <c r="H93" s="7" t="s">
        <v>818</v>
      </c>
      <c r="I93" s="1" t="s">
        <v>830</v>
      </c>
      <c r="J93" s="7" t="s">
        <v>847</v>
      </c>
    </row>
    <row r="94" spans="1:10" ht="109.2">
      <c r="A94" s="4" t="s">
        <v>193</v>
      </c>
      <c r="B94" s="1" t="s">
        <v>412</v>
      </c>
      <c r="C94" s="1" t="s">
        <v>826</v>
      </c>
      <c r="D94" s="1" t="s">
        <v>845</v>
      </c>
      <c r="E94" s="1" t="s">
        <v>509</v>
      </c>
      <c r="F94" s="1" t="s">
        <v>826</v>
      </c>
      <c r="G94" s="1" t="s">
        <v>847</v>
      </c>
      <c r="H94" s="7" t="s">
        <v>819</v>
      </c>
      <c r="I94" s="1" t="s">
        <v>830</v>
      </c>
      <c r="J94" s="7" t="s">
        <v>845</v>
      </c>
    </row>
    <row r="95" spans="1:10" ht="78">
      <c r="A95" s="4" t="s">
        <v>194</v>
      </c>
      <c r="B95" s="1" t="s">
        <v>413</v>
      </c>
      <c r="C95" s="1" t="s">
        <v>826</v>
      </c>
      <c r="D95" s="1" t="s">
        <v>846</v>
      </c>
      <c r="E95" s="1" t="s">
        <v>510</v>
      </c>
      <c r="F95" s="1" t="s">
        <v>827</v>
      </c>
      <c r="G95" s="1" t="s">
        <v>845</v>
      </c>
      <c r="H95" s="7" t="s">
        <v>820</v>
      </c>
      <c r="I95" s="1" t="s">
        <v>830</v>
      </c>
      <c r="J95" s="7" t="s">
        <v>847</v>
      </c>
    </row>
    <row r="96" spans="1:10" ht="78">
      <c r="A96" s="4" t="s">
        <v>195</v>
      </c>
      <c r="B96" s="1" t="s">
        <v>414</v>
      </c>
      <c r="C96" s="1" t="s">
        <v>826</v>
      </c>
      <c r="D96" s="1" t="s">
        <v>847</v>
      </c>
      <c r="E96" s="1" t="s">
        <v>511</v>
      </c>
      <c r="F96" s="1" t="s">
        <v>826</v>
      </c>
      <c r="G96" s="1" t="s">
        <v>847</v>
      </c>
      <c r="H96" s="7" t="s">
        <v>821</v>
      </c>
      <c r="I96" s="1" t="s">
        <v>830</v>
      </c>
      <c r="J96" s="7" t="s">
        <v>847</v>
      </c>
    </row>
    <row r="97" spans="1:10" ht="78">
      <c r="A97" s="4" t="s">
        <v>196</v>
      </c>
      <c r="B97" s="1" t="s">
        <v>415</v>
      </c>
      <c r="C97" s="1" t="s">
        <v>826</v>
      </c>
      <c r="D97" s="1" t="s">
        <v>847</v>
      </c>
      <c r="E97" s="1" t="s">
        <v>472</v>
      </c>
      <c r="F97" s="1" t="s">
        <v>830</v>
      </c>
      <c r="H97" s="7" t="s">
        <v>822</v>
      </c>
      <c r="I97" s="1" t="s">
        <v>830</v>
      </c>
      <c r="J97" s="7" t="s">
        <v>847</v>
      </c>
    </row>
    <row r="98" spans="1:10" ht="93.6">
      <c r="A98" s="4" t="s">
        <v>197</v>
      </c>
      <c r="B98" s="1" t="s">
        <v>416</v>
      </c>
      <c r="C98" s="1" t="s">
        <v>826</v>
      </c>
      <c r="D98" s="1" t="s">
        <v>847</v>
      </c>
      <c r="E98" s="1" t="s">
        <v>512</v>
      </c>
      <c r="F98" s="1" t="s">
        <v>827</v>
      </c>
      <c r="G98" s="1" t="s">
        <v>845</v>
      </c>
      <c r="H98" s="7" t="s">
        <v>823</v>
      </c>
      <c r="I98" s="1" t="s">
        <v>830</v>
      </c>
      <c r="J98" s="7" t="s">
        <v>847</v>
      </c>
    </row>
    <row r="99" spans="1:10" ht="109.2">
      <c r="A99" s="4" t="s">
        <v>198</v>
      </c>
      <c r="B99" s="1" t="s">
        <v>417</v>
      </c>
      <c r="C99" t="s">
        <v>826</v>
      </c>
      <c r="D99" s="1" t="s">
        <v>847</v>
      </c>
      <c r="E99" s="1" t="s">
        <v>513</v>
      </c>
      <c r="F99" s="1" t="s">
        <v>826</v>
      </c>
      <c r="G99" s="1" t="s">
        <v>847</v>
      </c>
      <c r="H99" s="7" t="s">
        <v>824</v>
      </c>
      <c r="I99" s="1" t="s">
        <v>830</v>
      </c>
      <c r="J99" s="7" t="s">
        <v>845</v>
      </c>
    </row>
    <row r="100" spans="1:10" ht="93.6">
      <c r="A100" s="4" t="s">
        <v>199</v>
      </c>
      <c r="B100" s="1" t="s">
        <v>418</v>
      </c>
      <c r="C100" t="s">
        <v>826</v>
      </c>
      <c r="D100" s="1" t="s">
        <v>847</v>
      </c>
      <c r="E100" s="1" t="s">
        <v>514</v>
      </c>
      <c r="F100" s="1" t="s">
        <v>826</v>
      </c>
      <c r="G100" s="1" t="s">
        <v>847</v>
      </c>
      <c r="H100" s="7" t="s">
        <v>823</v>
      </c>
      <c r="I100" s="1" t="s">
        <v>830</v>
      </c>
      <c r="J100" s="7" t="s">
        <v>847</v>
      </c>
    </row>
    <row r="101" spans="1:10" ht="93.6">
      <c r="A101" s="4" t="s">
        <v>200</v>
      </c>
      <c r="B101" s="1" t="s">
        <v>419</v>
      </c>
      <c r="C101" s="1" t="s">
        <v>827</v>
      </c>
      <c r="D101" s="1" t="s">
        <v>845</v>
      </c>
      <c r="E101" s="1" t="s">
        <v>515</v>
      </c>
      <c r="F101" s="1" t="s">
        <v>827</v>
      </c>
      <c r="G101" s="1" t="s">
        <v>845</v>
      </c>
      <c r="H101" s="7" t="s">
        <v>825</v>
      </c>
      <c r="I101" s="1" t="s">
        <v>830</v>
      </c>
      <c r="J101" s="7" t="s">
        <v>845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Адреса</vt:lpstr>
      <vt:lpstr>Координаты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Намиг Абдуллаев</dc:creator>
  <cp:lastModifiedBy>Valeria Malikova</cp:lastModifiedBy>
  <dcterms:created xsi:type="dcterms:W3CDTF">2025-11-25T12:22:47Z</dcterms:created>
  <dcterms:modified xsi:type="dcterms:W3CDTF">2026-07-26T18:45:29Z</dcterms:modified>
</cp:coreProperties>
</file>